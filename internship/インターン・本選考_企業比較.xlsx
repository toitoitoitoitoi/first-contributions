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企業一覧" sheetId="2" state="visible" r:id="rId2"/>
    <sheet name="事務系比率調査" sheetId="3" state="visible" r:id="rId3"/>
    <sheet name="リスト" sheetId="4" state="visible" r:id="rId4"/>
  </sheets>
  <definedNames>
    <definedName name="_xlnm._FilterDatabase" localSheetId="1" hidden="1">'企業一覧'!$A$4:$O$200</definedName>
  </definedNames>
  <calcPr calcId="124519" fullCalcOnLoad="1"/>
</workbook>
</file>

<file path=xl/styles.xml><?xml version="1.0" encoding="utf-8"?>
<styleSheet xmlns="http://schemas.openxmlformats.org/spreadsheetml/2006/main">
  <numFmts count="2">
    <numFmt numFmtId="164" formatCode="m/d"/>
    <numFmt numFmtId="165" formatCode="0&quot;日&quot;;&quot;期限切れ&quot;;&quot;今日&quot;"/>
  </numFmts>
  <fonts count="10">
    <font>
      <name val="Calibri"/>
      <family val="2"/>
      <color theme="1"/>
      <sz val="11"/>
      <scheme val="minor"/>
    </font>
    <font>
      <name val="Arial"/>
      <b val="1"/>
      <color rgb="001F3864"/>
      <sz val="16"/>
    </font>
    <font>
      <name val="Arial"/>
      <color rgb="00595959"/>
      <sz val="9"/>
    </font>
    <font>
      <name val="Arial"/>
      <b val="1"/>
      <color rgb="00FFFFFF"/>
      <sz val="10"/>
    </font>
    <font>
      <name val="Arial"/>
      <sz val="10"/>
    </font>
    <font>
      <name val="Arial"/>
      <color rgb="000000FF"/>
      <sz val="10"/>
    </font>
    <font>
      <name val="Arial"/>
      <b val="1"/>
      <sz val="11"/>
    </font>
    <font>
      <name val="Arial"/>
      <b val="1"/>
      <sz val="10"/>
    </font>
    <font>
      <name val="Arial"/>
      <b val="1"/>
      <color rgb="001F3864"/>
      <sz val="14"/>
    </font>
    <font>
      <name val="Arial"/>
      <b val="1"/>
      <color rgb="001F3864"/>
      <sz val="12"/>
    </font>
  </fonts>
  <fills count="7">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C6E0B4"/>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6" fillId="0" borderId="0" pivotButton="0" quotePrefix="0" xfId="0"/>
    <xf numFmtId="0" fontId="3"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3" fontId="4"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4" borderId="1" applyAlignment="1" pivotButton="0" quotePrefix="0" xfId="0">
      <alignment horizontal="center" vertical="center" wrapText="1"/>
    </xf>
    <xf numFmtId="3" fontId="4"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5" borderId="1" applyAlignment="1" pivotButton="0" quotePrefix="0" xfId="0">
      <alignment horizontal="center" vertical="center" wrapText="1"/>
    </xf>
    <xf numFmtId="3" fontId="4" fillId="5" borderId="1" applyAlignment="1" pivotButton="0" quotePrefix="0" xfId="0">
      <alignment horizontal="center" vertical="center" wrapText="1"/>
    </xf>
    <xf numFmtId="0" fontId="7" fillId="0" borderId="1" applyAlignment="1" pivotButton="0" quotePrefix="0" xfId="0">
      <alignment horizontal="center" vertical="center" wrapText="1"/>
    </xf>
    <xf numFmtId="3" fontId="7"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3"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8" fillId="0" borderId="0" pivotButton="0" quotePrefix="0" xfId="0"/>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9" fontId="4" fillId="4" borderId="1" applyAlignment="1" pivotButton="0" quotePrefix="0" xfId="0">
      <alignment horizontal="center" vertical="center" wrapText="1"/>
    </xf>
    <xf numFmtId="9" fontId="4" fillId="0"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9" fontId="7" fillId="6" borderId="1" applyAlignment="1" pivotButton="0" quotePrefix="0" xfId="0">
      <alignment horizontal="center" vertical="center" wrapText="1"/>
    </xf>
    <xf numFmtId="0" fontId="9" fillId="0" borderId="0" pivotButton="0" quotePrefix="0" xfId="0"/>
    <xf numFmtId="0" fontId="7" fillId="0" borderId="0" pivotButton="0" quotePrefix="0" xfId="0"/>
    <xf numFmtId="0" fontId="5" fillId="0" borderId="0" pivotButton="0" quotePrefix="0" xfId="0"/>
  </cellXfs>
  <cellStyles count="1">
    <cellStyle name="Normal" xfId="0" builtinId="0" hidden="0"/>
  </cellStyles>
  <dxfs count="7">
    <dxf>
      <fill>
        <patternFill patternType="solid">
          <fgColor rgb="00F8CBAD"/>
        </patternFill>
      </fill>
    </dxf>
    <dxf>
      <fill>
        <patternFill patternType="solid">
          <fgColor rgb="00FFE699"/>
        </patternFill>
      </fill>
    </dxf>
    <dxf>
      <fill>
        <patternFill patternType="solid">
          <fgColor rgb="00C6E0B4"/>
        </patternFill>
      </fill>
    </dxf>
    <dxf>
      <font>
        <name val="Arial"/>
        <b val="1"/>
        <color rgb="00C00000"/>
      </font>
    </dxf>
    <dxf>
      <font>
        <name val="Arial"/>
        <b val="1"/>
        <color rgb="0000B050"/>
      </font>
    </dxf>
    <dxf>
      <font>
        <name val="Arial"/>
        <b val="1"/>
        <color rgb="000070C0"/>
      </font>
    </dxf>
    <dxf>
      <font>
        <name val="Arial"/>
        <b val="1"/>
        <color rgb="007F7F7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表</author>
  </authors>
  <commentList>
    <comment ref="F4" authorId="0" shapeId="0">
      <text>
        <t>公開情報（有価証券報告書・口コミサイト等）をもとにしたざっくりした目安です。持株会社の数字や職種差があるので、実際の数字で上書きしてください。</t>
      </text>
    </comment>
    <comment ref="N4" authorId="0" shapeId="0">
      <text>
        <t>優先度スコア = ランク点（最高30／良い20／滑り止め10）＋ 志望度×2 ＋ 年収/100（上限15）。高いほど優先。重みは数式を編集すれば変更できます。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K27"/>
  <sheetViews>
    <sheetView workbookViewId="0">
      <selection activeCell="A1" sqref="A1"/>
    </sheetView>
  </sheetViews>
  <sheetFormatPr baseColWidth="8" defaultRowHeight="15"/>
  <cols>
    <col width="2"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2">
      <c r="B2" s="1" t="inlineStr">
        <is>
          <t>就活サマリー</t>
        </is>
      </c>
    </row>
    <row r="3">
      <c r="B3" s="2" t="inlineStr">
        <is>
          <t>企業一覧シートの内容から自動集計されます（入力不要）。</t>
        </is>
      </c>
    </row>
    <row r="5">
      <c r="B5" s="3" t="inlineStr">
        <is>
          <t>① ランク別 × インターン状況</t>
        </is>
      </c>
    </row>
    <row r="6" ht="30" customHeight="1">
      <c r="B6" s="4" t="inlineStr">
        <is>
          <t>ランク</t>
        </is>
      </c>
      <c r="C6" s="4" t="inlineStr">
        <is>
          <t>社数</t>
        </is>
      </c>
      <c r="D6" s="4" t="inlineStr">
        <is>
          <t>平均年収
目安(万)</t>
        </is>
      </c>
      <c r="E6" s="4" t="inlineStr">
        <is>
          <t>未応募</t>
        </is>
      </c>
      <c r="F6" s="4" t="inlineStr">
        <is>
          <t>応募予定</t>
        </is>
      </c>
      <c r="G6" s="4" t="inlineStr">
        <is>
          <t>ES提出済</t>
        </is>
      </c>
      <c r="H6" s="4" t="inlineStr">
        <is>
          <t>選考中</t>
        </is>
      </c>
      <c r="I6" s="4" t="inlineStr">
        <is>
          <t>参加済み</t>
        </is>
      </c>
      <c r="J6" s="4" t="inlineStr">
        <is>
          <t>落選</t>
        </is>
      </c>
      <c r="K6" s="4" t="inlineStr">
        <is>
          <t>見送り</t>
        </is>
      </c>
    </row>
    <row r="7">
      <c r="B7" s="5" t="inlineStr">
        <is>
          <t>最高</t>
        </is>
      </c>
      <c r="C7" s="6">
        <f>COUNTIF('企業一覧'!$B$5:$B$200,B7)</f>
        <v/>
      </c>
      <c r="D7" s="7">
        <f>IFERROR(AVERAGEIF('企業一覧'!$B$5:$B$200,B7,'企業一覧'!$F$5:$F$200),"-")</f>
        <v/>
      </c>
      <c r="E7" s="6">
        <f>COUNTIFS('企業一覧'!$B$5:$B$200,$B7,'企業一覧'!$H$5:$H$200,"未応募")</f>
        <v/>
      </c>
      <c r="F7" s="6">
        <f>COUNTIFS('企業一覧'!$B$5:$B$200,$B7,'企業一覧'!$H$5:$H$200,"応募予定")</f>
        <v/>
      </c>
      <c r="G7" s="6">
        <f>COUNTIFS('企業一覧'!$B$5:$B$200,$B7,'企業一覧'!$H$5:$H$200,"ES提出済")</f>
        <v/>
      </c>
      <c r="H7" s="6">
        <f>COUNTIFS('企業一覧'!$B$5:$B$200,$B7,'企業一覧'!$H$5:$H$200,"選考中")</f>
        <v/>
      </c>
      <c r="I7" s="6">
        <f>COUNTIFS('企業一覧'!$B$5:$B$200,$B7,'企業一覧'!$H$5:$H$200,"参加済み")</f>
        <v/>
      </c>
      <c r="J7" s="6">
        <f>COUNTIFS('企業一覧'!$B$5:$B$200,$B7,'企業一覧'!$H$5:$H$200,"落選")</f>
        <v/>
      </c>
      <c r="K7" s="6">
        <f>COUNTIFS('企業一覧'!$B$5:$B$200,$B7,'企業一覧'!$H$5:$H$200,"見送り")</f>
        <v/>
      </c>
    </row>
    <row r="8">
      <c r="B8" s="8" t="inlineStr">
        <is>
          <t>良い</t>
        </is>
      </c>
      <c r="C8" s="9">
        <f>COUNTIF('企業一覧'!$B$5:$B$200,B8)</f>
        <v/>
      </c>
      <c r="D8" s="10">
        <f>IFERROR(AVERAGEIF('企業一覧'!$B$5:$B$200,B8,'企業一覧'!$F$5:$F$200),"-")</f>
        <v/>
      </c>
      <c r="E8" s="9">
        <f>COUNTIFS('企業一覧'!$B$5:$B$200,$B8,'企業一覧'!$H$5:$H$200,"未応募")</f>
        <v/>
      </c>
      <c r="F8" s="9">
        <f>COUNTIFS('企業一覧'!$B$5:$B$200,$B8,'企業一覧'!$H$5:$H$200,"応募予定")</f>
        <v/>
      </c>
      <c r="G8" s="9">
        <f>COUNTIFS('企業一覧'!$B$5:$B$200,$B8,'企業一覧'!$H$5:$H$200,"ES提出済")</f>
        <v/>
      </c>
      <c r="H8" s="9">
        <f>COUNTIFS('企業一覧'!$B$5:$B$200,$B8,'企業一覧'!$H$5:$H$200,"選考中")</f>
        <v/>
      </c>
      <c r="I8" s="9">
        <f>COUNTIFS('企業一覧'!$B$5:$B$200,$B8,'企業一覧'!$H$5:$H$200,"参加済み")</f>
        <v/>
      </c>
      <c r="J8" s="9">
        <f>COUNTIFS('企業一覧'!$B$5:$B$200,$B8,'企業一覧'!$H$5:$H$200,"落選")</f>
        <v/>
      </c>
      <c r="K8" s="9">
        <f>COUNTIFS('企業一覧'!$B$5:$B$200,$B8,'企業一覧'!$H$5:$H$200,"見送り")</f>
        <v/>
      </c>
    </row>
    <row r="9">
      <c r="B9" s="11" t="inlineStr">
        <is>
          <t>滑り止め</t>
        </is>
      </c>
      <c r="C9" s="12">
        <f>COUNTIF('企業一覧'!$B$5:$B$200,B9)</f>
        <v/>
      </c>
      <c r="D9" s="13">
        <f>IFERROR(AVERAGEIF('企業一覧'!$B$5:$B$200,B9,'企業一覧'!$F$5:$F$200),"-")</f>
        <v/>
      </c>
      <c r="E9" s="12">
        <f>COUNTIFS('企業一覧'!$B$5:$B$200,$B9,'企業一覧'!$H$5:$H$200,"未応募")</f>
        <v/>
      </c>
      <c r="F9" s="12">
        <f>COUNTIFS('企業一覧'!$B$5:$B$200,$B9,'企業一覧'!$H$5:$H$200,"応募予定")</f>
        <v/>
      </c>
      <c r="G9" s="12">
        <f>COUNTIFS('企業一覧'!$B$5:$B$200,$B9,'企業一覧'!$H$5:$H$200,"ES提出済")</f>
        <v/>
      </c>
      <c r="H9" s="12">
        <f>COUNTIFS('企業一覧'!$B$5:$B$200,$B9,'企業一覧'!$H$5:$H$200,"選考中")</f>
        <v/>
      </c>
      <c r="I9" s="12">
        <f>COUNTIFS('企業一覧'!$B$5:$B$200,$B9,'企業一覧'!$H$5:$H$200,"参加済み")</f>
        <v/>
      </c>
      <c r="J9" s="12">
        <f>COUNTIFS('企業一覧'!$B$5:$B$200,$B9,'企業一覧'!$H$5:$H$200,"落選")</f>
        <v/>
      </c>
      <c r="K9" s="12">
        <f>COUNTIFS('企業一覧'!$B$5:$B$200,$B9,'企業一覧'!$H$5:$H$200,"見送り")</f>
        <v/>
      </c>
    </row>
    <row r="10">
      <c r="B10" s="14" t="inlineStr">
        <is>
          <t>合計</t>
        </is>
      </c>
      <c r="C10" s="14">
        <f>SUM(C7:C9)</f>
        <v/>
      </c>
      <c r="D10" s="15">
        <f>IFERROR(AVERAGE('企業一覧'!$F$5:$F$200),"-")</f>
        <v/>
      </c>
      <c r="E10" s="14">
        <f>SUM(E7:E9)</f>
        <v/>
      </c>
      <c r="F10" s="14">
        <f>SUM(F7:F9)</f>
        <v/>
      </c>
      <c r="G10" s="14">
        <f>SUM(G7:G9)</f>
        <v/>
      </c>
      <c r="H10" s="14">
        <f>SUM(H7:H9)</f>
        <v/>
      </c>
      <c r="I10" s="14">
        <f>SUM(I7:I9)</f>
        <v/>
      </c>
      <c r="J10" s="14">
        <f>SUM(J7:J9)</f>
        <v/>
      </c>
      <c r="K10" s="14">
        <f>SUM(K7:K9)</f>
        <v/>
      </c>
    </row>
    <row r="13">
      <c r="B13" s="3" t="inlineStr">
        <is>
          <t>② ランク別 × 本選考状況</t>
        </is>
      </c>
    </row>
    <row r="14">
      <c r="B14" s="4" t="inlineStr">
        <is>
          <t>ランク</t>
        </is>
      </c>
      <c r="C14" s="4" t="inlineStr">
        <is>
          <t>未応募</t>
        </is>
      </c>
      <c r="D14" s="4" t="inlineStr">
        <is>
          <t>応募予定</t>
        </is>
      </c>
      <c r="E14" s="4" t="inlineStr">
        <is>
          <t>ES提出済</t>
        </is>
      </c>
      <c r="F14" s="4" t="inlineStr">
        <is>
          <t>選考中</t>
        </is>
      </c>
      <c r="G14" s="4" t="inlineStr">
        <is>
          <t>内定</t>
        </is>
      </c>
      <c r="H14" s="4" t="inlineStr">
        <is>
          <t>落選</t>
        </is>
      </c>
      <c r="I14" s="4" t="inlineStr">
        <is>
          <t>見送り</t>
        </is>
      </c>
    </row>
    <row r="15">
      <c r="B15" s="5" t="inlineStr">
        <is>
          <t>最高</t>
        </is>
      </c>
      <c r="C15" s="6">
        <f>COUNTIFS('企業一覧'!$B$5:$B$200,$B15,'企業一覧'!$J$5:$J$200,"未応募")</f>
        <v/>
      </c>
      <c r="D15" s="6">
        <f>COUNTIFS('企業一覧'!$B$5:$B$200,$B15,'企業一覧'!$J$5:$J$200,"応募予定")</f>
        <v/>
      </c>
      <c r="E15" s="6">
        <f>COUNTIFS('企業一覧'!$B$5:$B$200,$B15,'企業一覧'!$J$5:$J$200,"ES提出済")</f>
        <v/>
      </c>
      <c r="F15" s="6">
        <f>COUNTIFS('企業一覧'!$B$5:$B$200,$B15,'企業一覧'!$J$5:$J$200,"選考中")</f>
        <v/>
      </c>
      <c r="G15" s="6">
        <f>COUNTIFS('企業一覧'!$B$5:$B$200,$B15,'企業一覧'!$J$5:$J$200,"内定")</f>
        <v/>
      </c>
      <c r="H15" s="6">
        <f>COUNTIFS('企業一覧'!$B$5:$B$200,$B15,'企業一覧'!$J$5:$J$200,"落選")</f>
        <v/>
      </c>
      <c r="I15" s="6">
        <f>COUNTIFS('企業一覧'!$B$5:$B$200,$B15,'企業一覧'!$J$5:$J$200,"見送り")</f>
        <v/>
      </c>
    </row>
    <row r="16">
      <c r="B16" s="8" t="inlineStr">
        <is>
          <t>良い</t>
        </is>
      </c>
      <c r="C16" s="9">
        <f>COUNTIFS('企業一覧'!$B$5:$B$200,$B16,'企業一覧'!$J$5:$J$200,"未応募")</f>
        <v/>
      </c>
      <c r="D16" s="9">
        <f>COUNTIFS('企業一覧'!$B$5:$B$200,$B16,'企業一覧'!$J$5:$J$200,"応募予定")</f>
        <v/>
      </c>
      <c r="E16" s="9">
        <f>COUNTIFS('企業一覧'!$B$5:$B$200,$B16,'企業一覧'!$J$5:$J$200,"ES提出済")</f>
        <v/>
      </c>
      <c r="F16" s="9">
        <f>COUNTIFS('企業一覧'!$B$5:$B$200,$B16,'企業一覧'!$J$5:$J$200,"選考中")</f>
        <v/>
      </c>
      <c r="G16" s="9">
        <f>COUNTIFS('企業一覧'!$B$5:$B$200,$B16,'企業一覧'!$J$5:$J$200,"内定")</f>
        <v/>
      </c>
      <c r="H16" s="9">
        <f>COUNTIFS('企業一覧'!$B$5:$B$200,$B16,'企業一覧'!$J$5:$J$200,"落選")</f>
        <v/>
      </c>
      <c r="I16" s="9">
        <f>COUNTIFS('企業一覧'!$B$5:$B$200,$B16,'企業一覧'!$J$5:$J$200,"見送り")</f>
        <v/>
      </c>
    </row>
    <row r="17">
      <c r="B17" s="11" t="inlineStr">
        <is>
          <t>滑り止め</t>
        </is>
      </c>
      <c r="C17" s="12">
        <f>COUNTIFS('企業一覧'!$B$5:$B$200,$B17,'企業一覧'!$J$5:$J$200,"未応募")</f>
        <v/>
      </c>
      <c r="D17" s="12">
        <f>COUNTIFS('企業一覧'!$B$5:$B$200,$B17,'企業一覧'!$J$5:$J$200,"応募予定")</f>
        <v/>
      </c>
      <c r="E17" s="12">
        <f>COUNTIFS('企業一覧'!$B$5:$B$200,$B17,'企業一覧'!$J$5:$J$200,"ES提出済")</f>
        <v/>
      </c>
      <c r="F17" s="12">
        <f>COUNTIFS('企業一覧'!$B$5:$B$200,$B17,'企業一覧'!$J$5:$J$200,"選考中")</f>
        <v/>
      </c>
      <c r="G17" s="12">
        <f>COUNTIFS('企業一覧'!$B$5:$B$200,$B17,'企業一覧'!$J$5:$J$200,"内定")</f>
        <v/>
      </c>
      <c r="H17" s="12">
        <f>COUNTIFS('企業一覧'!$B$5:$B$200,$B17,'企業一覧'!$J$5:$J$200,"落選")</f>
        <v/>
      </c>
      <c r="I17" s="12">
        <f>COUNTIFS('企業一覧'!$B$5:$B$200,$B17,'企業一覧'!$J$5:$J$200,"見送り")</f>
        <v/>
      </c>
    </row>
    <row r="18">
      <c r="B18" s="14" t="inlineStr">
        <is>
          <t>合計</t>
        </is>
      </c>
      <c r="C18" s="14">
        <f>SUM(C15:C17)</f>
        <v/>
      </c>
      <c r="D18" s="14">
        <f>SUM(D15:D17)</f>
        <v/>
      </c>
      <c r="E18" s="14">
        <f>SUM(E15:E17)</f>
        <v/>
      </c>
      <c r="F18" s="14">
        <f>SUM(F15:F17)</f>
        <v/>
      </c>
      <c r="G18" s="14">
        <f>SUM(G15:G17)</f>
        <v/>
      </c>
      <c r="H18" s="14">
        <f>SUM(H15:H17)</f>
        <v/>
      </c>
      <c r="I18" s="14">
        <f>SUM(I15:I17)</f>
        <v/>
      </c>
    </row>
    <row r="21">
      <c r="B21" s="3" t="inlineStr">
        <is>
          <t>③ 応募判断のポイント</t>
        </is>
      </c>
    </row>
    <row r="22" ht="22" customHeight="1">
      <c r="B22" s="5" t="inlineStr">
        <is>
          <t>最高</t>
        </is>
      </c>
      <c r="C22" s="16" t="inlineStr">
        <is>
          <t>本命。インターン経由の早期選考ルートが多いので、インターンは最優先で全部エントリー。</t>
        </is>
      </c>
      <c r="D22" s="17" t="n"/>
      <c r="E22" s="17" t="n"/>
      <c r="F22" s="17" t="n"/>
      <c r="G22" s="17" t="n"/>
      <c r="H22" s="17" t="n"/>
      <c r="I22" s="17" t="n"/>
      <c r="J22" s="17" t="n"/>
      <c r="K22" s="17" t="n"/>
    </row>
    <row r="23" ht="22" customHeight="1">
      <c r="B23" s="8" t="inlineStr">
        <is>
          <t>良い</t>
        </is>
      </c>
      <c r="C23" s="16" t="inlineStr">
        <is>
          <t>安定志向の軸。技術系・技術営業はインターン参加で推薦・リクルーター面談につながりやすい。</t>
        </is>
      </c>
      <c r="D23" s="17" t="n"/>
      <c r="E23" s="17" t="n"/>
      <c r="F23" s="17" t="n"/>
      <c r="G23" s="17" t="n"/>
      <c r="H23" s="17" t="n"/>
      <c r="I23" s="17" t="n"/>
      <c r="J23" s="17" t="n"/>
      <c r="K23" s="17" t="n"/>
    </row>
    <row r="24" ht="22" customHeight="1">
      <c r="B24" s="11" t="inlineStr">
        <is>
          <t>滑り止め</t>
        </is>
      </c>
      <c r="C24" s="16" t="inlineStr">
        <is>
          <t>内定確保用。住友化学はインターン参加済みなので本選考の優遇を確認しておく。</t>
        </is>
      </c>
      <c r="D24" s="17" t="n"/>
      <c r="E24" s="17" t="n"/>
      <c r="F24" s="17" t="n"/>
      <c r="G24" s="17" t="n"/>
      <c r="H24" s="17" t="n"/>
      <c r="I24" s="17" t="n"/>
      <c r="J24" s="17" t="n"/>
      <c r="K24" s="17" t="n"/>
    </row>
    <row r="25" ht="22" customHeight="1">
      <c r="B25" s="14" t="inlineStr">
        <is>
          <t>バランス</t>
        </is>
      </c>
      <c r="C25" s="16" t="inlineStr">
        <is>
          <t>目安：最高5〜9社・良い5〜8社・滑り止め3〜5社。①の社数が偏っていないか確認。</t>
        </is>
      </c>
      <c r="D25" s="17" t="n"/>
      <c r="E25" s="17" t="n"/>
      <c r="F25" s="17" t="n"/>
      <c r="G25" s="17" t="n"/>
      <c r="H25" s="17" t="n"/>
      <c r="I25" s="17" t="n"/>
      <c r="J25" s="17" t="n"/>
      <c r="K25" s="17" t="n"/>
    </row>
    <row r="27">
      <c r="B27" s="2" t="inlineStr">
        <is>
          <t>※平均年収は目安（公開情報ベースの概算）です。企業一覧で実数に書き換えると自動で反映されます。</t>
        </is>
      </c>
    </row>
  </sheetData>
  <mergeCells count="4">
    <mergeCell ref="C24:K24"/>
    <mergeCell ref="C23:K23"/>
    <mergeCell ref="C25:K25"/>
    <mergeCell ref="C22:K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0"/>
  <sheetViews>
    <sheetView zoomScale="100"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3" customWidth="1" min="3" max="3"/>
    <col width="26" customWidth="1" min="4" max="4"/>
    <col width="16" customWidth="1" min="5" max="5"/>
    <col width="11" customWidth="1" min="6" max="6"/>
    <col width="8" customWidth="1" min="7" max="7"/>
    <col width="11" customWidth="1" min="8" max="8"/>
    <col width="11" customWidth="1" min="9" max="9"/>
    <col width="11" customWidth="1" min="10" max="10"/>
    <col width="11" customWidth="1" min="11" max="11"/>
    <col width="11" customWidth="1" min="12" max="12"/>
    <col width="8" customWidth="1" min="13" max="13"/>
    <col width="9" customWidth="1" min="14" max="14"/>
    <col width="40" customWidth="1" min="15" max="15"/>
  </cols>
  <sheetData>
    <row r="1">
      <c r="A1" s="1" t="inlineStr">
        <is>
          <t>インターン・本選考 企業比較表</t>
        </is>
      </c>
    </row>
    <row r="2">
      <c r="A2" s="2" t="inlineStr">
        <is>
          <t>青字＝自分で入力するセル／ランク・状況はプルダウン選択。最終行の下に行を足すだけで企業を追加できます（200行目まで設定済み）。</t>
        </is>
      </c>
    </row>
    <row r="4" ht="32" customHeight="1">
      <c r="A4" s="4" t="inlineStr">
        <is>
          <t>No</t>
        </is>
      </c>
      <c r="B4" s="4" t="inlineStr">
        <is>
          <t>ランク</t>
        </is>
      </c>
      <c r="C4" s="4" t="inlineStr">
        <is>
          <t>業界</t>
        </is>
      </c>
      <c r="D4" s="4" t="inlineStr">
        <is>
          <t>企業名</t>
        </is>
      </c>
      <c r="E4" s="4" t="inlineStr">
        <is>
          <t>職種・コース</t>
        </is>
      </c>
      <c r="F4" s="4" t="inlineStr">
        <is>
          <t>平均年収目安
(万円)</t>
        </is>
      </c>
      <c r="G4" s="4" t="inlineStr">
        <is>
          <t>志望度
(1〜5)</t>
        </is>
      </c>
      <c r="H4" s="4" t="inlineStr">
        <is>
          <t>インターン
状況</t>
        </is>
      </c>
      <c r="I4" s="4" t="inlineStr">
        <is>
          <t>インターン
締切</t>
        </is>
      </c>
      <c r="J4" s="4" t="inlineStr">
        <is>
          <t>本選考
状況</t>
        </is>
      </c>
      <c r="K4" s="4" t="inlineStr">
        <is>
          <t>本選考
締切</t>
        </is>
      </c>
      <c r="L4" s="4" t="inlineStr">
        <is>
          <t>次の締切</t>
        </is>
      </c>
      <c r="M4" s="4" t="inlineStr">
        <is>
          <t>残り日数</t>
        </is>
      </c>
      <c r="N4" s="4" t="inlineStr">
        <is>
          <t>優先度
スコア</t>
        </is>
      </c>
      <c r="O4" s="4" t="inlineStr">
        <is>
          <t>メモ</t>
        </is>
      </c>
    </row>
    <row r="5">
      <c r="A5" s="18">
        <f>IF(D5="","",ROW()-4)</f>
        <v/>
      </c>
      <c r="B5" s="19" t="inlineStr">
        <is>
          <t>最高</t>
        </is>
      </c>
      <c r="C5" s="19" t="inlineStr">
        <is>
          <t>人材・広告</t>
        </is>
      </c>
      <c r="D5" s="20" t="inlineStr">
        <is>
          <t>リクルート</t>
        </is>
      </c>
      <c r="E5" s="20" t="inlineStr">
        <is>
          <t>ビジネス職</t>
        </is>
      </c>
      <c r="F5" s="21" t="n">
        <v>1000</v>
      </c>
      <c r="G5" s="19" t="n">
        <v>5</v>
      </c>
      <c r="H5" s="19" t="inlineStr">
        <is>
          <t>未応募</t>
        </is>
      </c>
      <c r="I5" s="22" t="n"/>
      <c r="J5" s="19" t="inlineStr">
        <is>
          <t>未応募</t>
        </is>
      </c>
      <c r="K5" s="22" t="n"/>
      <c r="L5" s="23">
        <f>IF(COUNT(I5,K5)=0,"",MIN(I5,K5))</f>
        <v/>
      </c>
      <c r="M5" s="24">
        <f>IF(L5="","",L5-TODAY())</f>
        <v/>
      </c>
      <c r="N5" s="25">
        <f>IF(D5="","",IF(B5="最高",30,IF(B5="良い",20,IF(B5="滑り止め",10,0)))+N(G5)*2+IF(F5="",0,MIN(F5/100,15)))</f>
        <v/>
      </c>
      <c r="O5" s="20" t="inlineStr"/>
    </row>
    <row r="6">
      <c r="A6" s="18">
        <f>IF(D6="","",ROW()-4)</f>
        <v/>
      </c>
      <c r="B6" s="19" t="inlineStr">
        <is>
          <t>最高</t>
        </is>
      </c>
      <c r="C6" s="19" t="inlineStr">
        <is>
          <t>コンサル</t>
        </is>
      </c>
      <c r="D6" s="20" t="inlineStr">
        <is>
          <t>PwCコンサルティング</t>
        </is>
      </c>
      <c r="E6" s="20" t="inlineStr">
        <is>
          <t>ビジネスコンサル</t>
        </is>
      </c>
      <c r="F6" s="21" t="n">
        <v>1000</v>
      </c>
      <c r="G6" s="19" t="n">
        <v>5</v>
      </c>
      <c r="H6" s="19" t="inlineStr">
        <is>
          <t>未応募</t>
        </is>
      </c>
      <c r="I6" s="22" t="n"/>
      <c r="J6" s="19" t="inlineStr">
        <is>
          <t>未応募</t>
        </is>
      </c>
      <c r="K6" s="22" t="n"/>
      <c r="L6" s="23">
        <f>IF(COUNT(I6,K6)=0,"",MIN(I6,K6))</f>
        <v/>
      </c>
      <c r="M6" s="24">
        <f>IF(L6="","",L6-TODAY())</f>
        <v/>
      </c>
      <c r="N6" s="25">
        <f>IF(D6="","",IF(B6="最高",30,IF(B6="良い",20,IF(B6="滑り止め",10,0)))+N(G6)*2+IF(F6="",0,MIN(F6/100,15)))</f>
        <v/>
      </c>
      <c r="O6" s="20" t="inlineStr"/>
    </row>
    <row r="7">
      <c r="A7" s="18">
        <f>IF(D7="","",ROW()-4)</f>
        <v/>
      </c>
      <c r="B7" s="19" t="inlineStr">
        <is>
          <t>最高</t>
        </is>
      </c>
      <c r="C7" s="19" t="inlineStr">
        <is>
          <t>コンサル</t>
        </is>
      </c>
      <c r="D7" s="20" t="inlineStr">
        <is>
          <t>EYストラテジー・アンド・コンサルティング</t>
        </is>
      </c>
      <c r="E7" s="20" t="inlineStr">
        <is>
          <t>コンサル</t>
        </is>
      </c>
      <c r="F7" s="21" t="n">
        <v>1000</v>
      </c>
      <c r="G7" s="19" t="n">
        <v>5</v>
      </c>
      <c r="H7" s="19" t="inlineStr">
        <is>
          <t>未応募</t>
        </is>
      </c>
      <c r="I7" s="22" t="n"/>
      <c r="J7" s="19" t="inlineStr">
        <is>
          <t>未応募</t>
        </is>
      </c>
      <c r="K7" s="22" t="n"/>
      <c r="L7" s="23">
        <f>IF(COUNT(I7,K7)=0,"",MIN(I7,K7))</f>
        <v/>
      </c>
      <c r="M7" s="24">
        <f>IF(L7="","",L7-TODAY())</f>
        <v/>
      </c>
      <c r="N7" s="25">
        <f>IF(D7="","",IF(B7="最高",30,IF(B7="良い",20,IF(B7="滑り止め",10,0)))+N(G7)*2+IF(F7="",0,MIN(F7/100,15)))</f>
        <v/>
      </c>
      <c r="O7" s="20" t="inlineStr"/>
    </row>
    <row r="8">
      <c r="A8" s="18">
        <f>IF(D8="","",ROW()-4)</f>
        <v/>
      </c>
      <c r="B8" s="19" t="inlineStr">
        <is>
          <t>最高</t>
        </is>
      </c>
      <c r="C8" s="19" t="inlineStr">
        <is>
          <t>コンサル</t>
        </is>
      </c>
      <c r="D8" s="20" t="inlineStr">
        <is>
          <t>ベイカレント・コンサルティング</t>
        </is>
      </c>
      <c r="E8" s="20" t="inlineStr">
        <is>
          <t>コンサル</t>
        </is>
      </c>
      <c r="F8" s="21" t="n">
        <v>1150</v>
      </c>
      <c r="G8" s="19" t="n">
        <v>5</v>
      </c>
      <c r="H8" s="19" t="inlineStr">
        <is>
          <t>未応募</t>
        </is>
      </c>
      <c r="I8" s="22" t="n"/>
      <c r="J8" s="19" t="inlineStr">
        <is>
          <t>未応募</t>
        </is>
      </c>
      <c r="K8" s="22" t="n"/>
      <c r="L8" s="23">
        <f>IF(COUNT(I8,K8)=0,"",MIN(I8,K8))</f>
        <v/>
      </c>
      <c r="M8" s="24">
        <f>IF(L8="","",L8-TODAY())</f>
        <v/>
      </c>
      <c r="N8" s="25">
        <f>IF(D8="","",IF(B8="最高",30,IF(B8="良い",20,IF(B8="滑り止め",10,0)))+N(G8)*2+IF(F8="",0,MIN(F8/100,15)))</f>
        <v/>
      </c>
      <c r="O8" s="20" t="inlineStr"/>
    </row>
    <row r="9">
      <c r="A9" s="18">
        <f>IF(D9="","",ROW()-4)</f>
        <v/>
      </c>
      <c r="B9" s="19" t="inlineStr">
        <is>
          <t>最高</t>
        </is>
      </c>
      <c r="C9" s="19" t="inlineStr">
        <is>
          <t>コンサル</t>
        </is>
      </c>
      <c r="D9" s="20" t="inlineStr">
        <is>
          <t>シグマクシス</t>
        </is>
      </c>
      <c r="E9" s="20" t="inlineStr">
        <is>
          <t>コンサル</t>
        </is>
      </c>
      <c r="F9" s="21" t="n">
        <v>1000</v>
      </c>
      <c r="G9" s="19" t="n">
        <v>5</v>
      </c>
      <c r="H9" s="19" t="inlineStr">
        <is>
          <t>未応募</t>
        </is>
      </c>
      <c r="I9" s="22" t="n"/>
      <c r="J9" s="19" t="inlineStr">
        <is>
          <t>未応募</t>
        </is>
      </c>
      <c r="K9" s="22" t="n"/>
      <c r="L9" s="23">
        <f>IF(COUNT(I9,K9)=0,"",MIN(I9,K9))</f>
        <v/>
      </c>
      <c r="M9" s="24">
        <f>IF(L9="","",L9-TODAY())</f>
        <v/>
      </c>
      <c r="N9" s="25">
        <f>IF(D9="","",IF(B9="最高",30,IF(B9="良い",20,IF(B9="滑り止め",10,0)))+N(G9)*2+IF(F9="",0,MIN(F9/100,15)))</f>
        <v/>
      </c>
      <c r="O9" s="20" t="inlineStr">
        <is>
          <t>※元メモ「まぐマクシス」→シグマクシスと推定。違えば修正</t>
        </is>
      </c>
    </row>
    <row r="10">
      <c r="A10" s="18">
        <f>IF(D10="","",ROW()-4)</f>
        <v/>
      </c>
      <c r="B10" s="19" t="inlineStr">
        <is>
          <t>最高</t>
        </is>
      </c>
      <c r="C10" s="19" t="inlineStr">
        <is>
          <t>コンサル</t>
        </is>
      </c>
      <c r="D10" s="20" t="inlineStr">
        <is>
          <t>デロイト トーマツ コンサルティング</t>
        </is>
      </c>
      <c r="E10" s="20" t="inlineStr">
        <is>
          <t>コンサル</t>
        </is>
      </c>
      <c r="F10" s="21" t="n">
        <v>1000</v>
      </c>
      <c r="G10" s="19" t="n">
        <v>5</v>
      </c>
      <c r="H10" s="19" t="inlineStr">
        <is>
          <t>未応募</t>
        </is>
      </c>
      <c r="I10" s="22" t="n"/>
      <c r="J10" s="19" t="inlineStr">
        <is>
          <t>未応募</t>
        </is>
      </c>
      <c r="K10" s="22" t="n"/>
      <c r="L10" s="23">
        <f>IF(COUNT(I10,K10)=0,"",MIN(I10,K10))</f>
        <v/>
      </c>
      <c r="M10" s="24">
        <f>IF(L10="","",L10-TODAY())</f>
        <v/>
      </c>
      <c r="N10" s="25">
        <f>IF(D10="","",IF(B10="最高",30,IF(B10="良い",20,IF(B10="滑り止め",10,0)))+N(G10)*2+IF(F10="",0,MIN(F10/100,15)))</f>
        <v/>
      </c>
      <c r="O10" s="20" t="inlineStr"/>
    </row>
    <row r="11">
      <c r="A11" s="18">
        <f>IF(D11="","",ROW()-4)</f>
        <v/>
      </c>
      <c r="B11" s="19" t="inlineStr">
        <is>
          <t>最高</t>
        </is>
      </c>
      <c r="C11" s="19" t="inlineStr">
        <is>
          <t>コンサル</t>
        </is>
      </c>
      <c r="D11" s="20" t="inlineStr">
        <is>
          <t>KPMGコンサルティング</t>
        </is>
      </c>
      <c r="E11" s="20" t="inlineStr">
        <is>
          <t>コンサル</t>
        </is>
      </c>
      <c r="F11" s="21" t="n">
        <v>950</v>
      </c>
      <c r="G11" s="19" t="n">
        <v>5</v>
      </c>
      <c r="H11" s="19" t="inlineStr">
        <is>
          <t>未応募</t>
        </is>
      </c>
      <c r="I11" s="22" t="n"/>
      <c r="J11" s="19" t="inlineStr">
        <is>
          <t>未応募</t>
        </is>
      </c>
      <c r="K11" s="22" t="n"/>
      <c r="L11" s="23">
        <f>IF(COUNT(I11,K11)=0,"",MIN(I11,K11))</f>
        <v/>
      </c>
      <c r="M11" s="24">
        <f>IF(L11="","",L11-TODAY())</f>
        <v/>
      </c>
      <c r="N11" s="25">
        <f>IF(D11="","",IF(B11="最高",30,IF(B11="良い",20,IF(B11="滑り止め",10,0)))+N(G11)*2+IF(F11="",0,MIN(F11/100,15)))</f>
        <v/>
      </c>
      <c r="O11" s="20" t="inlineStr"/>
    </row>
    <row r="12">
      <c r="A12" s="18">
        <f>IF(D12="","",ROW()-4)</f>
        <v/>
      </c>
      <c r="B12" s="19" t="inlineStr">
        <is>
          <t>最高</t>
        </is>
      </c>
      <c r="C12" s="19" t="inlineStr">
        <is>
          <t>IT</t>
        </is>
      </c>
      <c r="D12" s="20" t="inlineStr">
        <is>
          <t>野村総合研究所（NRI）</t>
        </is>
      </c>
      <c r="E12" s="20" t="inlineStr">
        <is>
          <t>コンサル／ITソリューション</t>
        </is>
      </c>
      <c r="F12" s="21" t="n">
        <v>1250</v>
      </c>
      <c r="G12" s="19" t="n">
        <v>5</v>
      </c>
      <c r="H12" s="19" t="inlineStr">
        <is>
          <t>未応募</t>
        </is>
      </c>
      <c r="I12" s="22" t="n"/>
      <c r="J12" s="19" t="inlineStr">
        <is>
          <t>未応募</t>
        </is>
      </c>
      <c r="K12" s="22" t="n"/>
      <c r="L12" s="23">
        <f>IF(COUNT(I12,K12)=0,"",MIN(I12,K12))</f>
        <v/>
      </c>
      <c r="M12" s="24">
        <f>IF(L12="","",L12-TODAY())</f>
        <v/>
      </c>
      <c r="N12" s="25">
        <f>IF(D12="","",IF(B12="最高",30,IF(B12="良い",20,IF(B12="滑り止め",10,0)))+N(G12)*2+IF(F12="",0,MIN(F12/100,15)))</f>
        <v/>
      </c>
      <c r="O12" s="20" t="inlineStr"/>
    </row>
    <row r="13">
      <c r="A13" s="18">
        <f>IF(D13="","",ROW()-4)</f>
        <v/>
      </c>
      <c r="B13" s="19" t="inlineStr">
        <is>
          <t>最高</t>
        </is>
      </c>
      <c r="C13" s="19" t="inlineStr">
        <is>
          <t>IT</t>
        </is>
      </c>
      <c r="D13" s="20" t="inlineStr">
        <is>
          <t>サイバーエージェント</t>
        </is>
      </c>
      <c r="E13" s="20" t="inlineStr">
        <is>
          <t>ビジネス職</t>
        </is>
      </c>
      <c r="F13" s="21" t="n">
        <v>850</v>
      </c>
      <c r="G13" s="19" t="n">
        <v>5</v>
      </c>
      <c r="H13" s="19" t="inlineStr">
        <is>
          <t>未応募</t>
        </is>
      </c>
      <c r="I13" s="22" t="n"/>
      <c r="J13" s="19" t="inlineStr">
        <is>
          <t>未応募</t>
        </is>
      </c>
      <c r="K13" s="22" t="n"/>
      <c r="L13" s="23">
        <f>IF(COUNT(I13,K13)=0,"",MIN(I13,K13))</f>
        <v/>
      </c>
      <c r="M13" s="24">
        <f>IF(L13="","",L13-TODAY())</f>
        <v/>
      </c>
      <c r="N13" s="25">
        <f>IF(D13="","",IF(B13="最高",30,IF(B13="良い",20,IF(B13="滑り止め",10,0)))+N(G13)*2+IF(F13="",0,MIN(F13/100,15)))</f>
        <v/>
      </c>
      <c r="O13" s="20" t="inlineStr"/>
    </row>
    <row r="14">
      <c r="A14" s="18">
        <f>IF(D14="","",ROW()-4)</f>
        <v/>
      </c>
      <c r="B14" s="19" t="inlineStr">
        <is>
          <t>良い</t>
        </is>
      </c>
      <c r="C14" s="19" t="inlineStr">
        <is>
          <t>鉄鋼・素材</t>
        </is>
      </c>
      <c r="D14" s="20" t="inlineStr">
        <is>
          <t>日本製鉄</t>
        </is>
      </c>
      <c r="E14" s="20" t="inlineStr">
        <is>
          <t>技術系</t>
        </is>
      </c>
      <c r="F14" s="21" t="n">
        <v>850</v>
      </c>
      <c r="G14" s="19" t="n">
        <v>4</v>
      </c>
      <c r="H14" s="19" t="inlineStr">
        <is>
          <t>未応募</t>
        </is>
      </c>
      <c r="I14" s="22" t="n"/>
      <c r="J14" s="19" t="inlineStr">
        <is>
          <t>未応募</t>
        </is>
      </c>
      <c r="K14" s="22" t="n"/>
      <c r="L14" s="23">
        <f>IF(COUNT(I14,K14)=0,"",MIN(I14,K14))</f>
        <v/>
      </c>
      <c r="M14" s="24">
        <f>IF(L14="","",L14-TODAY())</f>
        <v/>
      </c>
      <c r="N14" s="25">
        <f>IF(D14="","",IF(B14="最高",30,IF(B14="良い",20,IF(B14="滑り止め",10,0)))+N(G14)*2+IF(F14="",0,MIN(F14/100,15)))</f>
        <v/>
      </c>
      <c r="O14" s="20" t="inlineStr"/>
    </row>
    <row r="15">
      <c r="A15" s="18">
        <f>IF(D15="","",ROW()-4)</f>
        <v/>
      </c>
      <c r="B15" s="19" t="inlineStr">
        <is>
          <t>良い</t>
        </is>
      </c>
      <c r="C15" s="19" t="inlineStr">
        <is>
          <t>プラント・エンジ</t>
        </is>
      </c>
      <c r="D15" s="20" t="inlineStr">
        <is>
          <t>日鉄エンジニアリング</t>
        </is>
      </c>
      <c r="E15" s="20" t="inlineStr">
        <is>
          <t>技術系</t>
        </is>
      </c>
      <c r="F15" s="21" t="n">
        <v>850</v>
      </c>
      <c r="G15" s="19" t="n">
        <v>4</v>
      </c>
      <c r="H15" s="19" t="inlineStr">
        <is>
          <t>未応募</t>
        </is>
      </c>
      <c r="I15" s="22" t="n"/>
      <c r="J15" s="19" t="inlineStr">
        <is>
          <t>未応募</t>
        </is>
      </c>
      <c r="K15" s="22" t="n"/>
      <c r="L15" s="23">
        <f>IF(COUNT(I15,K15)=0,"",MIN(I15,K15))</f>
        <v/>
      </c>
      <c r="M15" s="24">
        <f>IF(L15="","",L15-TODAY())</f>
        <v/>
      </c>
      <c r="N15" s="25">
        <f>IF(D15="","",IF(B15="最高",30,IF(B15="良い",20,IF(B15="滑り止め",10,0)))+N(G15)*2+IF(F15="",0,MIN(F15/100,15)))</f>
        <v/>
      </c>
      <c r="O15" s="20" t="inlineStr"/>
    </row>
    <row r="16">
      <c r="A16" s="18">
        <f>IF(D16="","",ROW()-4)</f>
        <v/>
      </c>
      <c r="B16" s="19" t="inlineStr">
        <is>
          <t>良い</t>
        </is>
      </c>
      <c r="C16" s="19" t="inlineStr">
        <is>
          <t>技術営業</t>
        </is>
      </c>
      <c r="D16" s="20" t="inlineStr">
        <is>
          <t>日立製作所</t>
        </is>
      </c>
      <c r="E16" s="20" t="inlineStr">
        <is>
          <t>技術営業</t>
        </is>
      </c>
      <c r="F16" s="21" t="n">
        <v>900</v>
      </c>
      <c r="G16" s="19" t="n">
        <v>4</v>
      </c>
      <c r="H16" s="19" t="inlineStr">
        <is>
          <t>未応募</t>
        </is>
      </c>
      <c r="I16" s="22" t="n"/>
      <c r="J16" s="19" t="inlineStr">
        <is>
          <t>未応募</t>
        </is>
      </c>
      <c r="K16" s="22" t="n"/>
      <c r="L16" s="23">
        <f>IF(COUNT(I16,K16)=0,"",MIN(I16,K16))</f>
        <v/>
      </c>
      <c r="M16" s="24">
        <f>IF(L16="","",L16-TODAY())</f>
        <v/>
      </c>
      <c r="N16" s="25">
        <f>IF(D16="","",IF(B16="最高",30,IF(B16="良い",20,IF(B16="滑り止め",10,0)))+N(G16)*2+IF(F16="",0,MIN(F16/100,15)))</f>
        <v/>
      </c>
      <c r="O16" s="20" t="inlineStr"/>
    </row>
    <row r="17">
      <c r="A17" s="18">
        <f>IF(D17="","",ROW()-4)</f>
        <v/>
      </c>
      <c r="B17" s="19" t="inlineStr">
        <is>
          <t>良い</t>
        </is>
      </c>
      <c r="C17" s="19" t="inlineStr">
        <is>
          <t>商社</t>
        </is>
      </c>
      <c r="D17" s="20" t="inlineStr">
        <is>
          <t>岩谷産業</t>
        </is>
      </c>
      <c r="E17" s="20" t="inlineStr">
        <is>
          <t>技術営業／総合職</t>
        </is>
      </c>
      <c r="F17" s="21" t="n">
        <v>900</v>
      </c>
      <c r="G17" s="19" t="n">
        <v>4</v>
      </c>
      <c r="H17" s="19" t="inlineStr">
        <is>
          <t>未応募</t>
        </is>
      </c>
      <c r="I17" s="22" t="n"/>
      <c r="J17" s="19" t="inlineStr">
        <is>
          <t>未応募</t>
        </is>
      </c>
      <c r="K17" s="22" t="n"/>
      <c r="L17" s="23">
        <f>IF(COUNT(I17,K17)=0,"",MIN(I17,K17))</f>
        <v/>
      </c>
      <c r="M17" s="24">
        <f>IF(L17="","",L17-TODAY())</f>
        <v/>
      </c>
      <c r="N17" s="25">
        <f>IF(D17="","",IF(B17="最高",30,IF(B17="良い",20,IF(B17="滑り止め",10,0)))+N(G17)*2+IF(F17="",0,MIN(F17/100,15)))</f>
        <v/>
      </c>
      <c r="O17" s="20" t="inlineStr"/>
    </row>
    <row r="18">
      <c r="A18" s="18">
        <f>IF(D18="","",ROW()-4)</f>
        <v/>
      </c>
      <c r="B18" s="19" t="inlineStr">
        <is>
          <t>良い</t>
        </is>
      </c>
      <c r="C18" s="19" t="inlineStr">
        <is>
          <t>プラント・エンジ</t>
        </is>
      </c>
      <c r="D18" s="20" t="inlineStr">
        <is>
          <t>日揮</t>
        </is>
      </c>
      <c r="E18" s="20" t="inlineStr">
        <is>
          <t>技術系</t>
        </is>
      </c>
      <c r="F18" s="21" t="n">
        <v>950</v>
      </c>
      <c r="G18" s="19" t="n">
        <v>4</v>
      </c>
      <c r="H18" s="19" t="inlineStr">
        <is>
          <t>未応募</t>
        </is>
      </c>
      <c r="I18" s="22" t="n"/>
      <c r="J18" s="19" t="inlineStr">
        <is>
          <t>未応募</t>
        </is>
      </c>
      <c r="K18" s="22" t="n"/>
      <c r="L18" s="23">
        <f>IF(COUNT(I18,K18)=0,"",MIN(I18,K18))</f>
        <v/>
      </c>
      <c r="M18" s="24">
        <f>IF(L18="","",L18-TODAY())</f>
        <v/>
      </c>
      <c r="N18" s="25">
        <f>IF(D18="","",IF(B18="最高",30,IF(B18="良い",20,IF(B18="滑り止め",10,0)))+N(G18)*2+IF(F18="",0,MIN(F18/100,15)))</f>
        <v/>
      </c>
      <c r="O18" s="20" t="inlineStr"/>
    </row>
    <row r="19">
      <c r="A19" s="18">
        <f>IF(D19="","",ROW()-4)</f>
        <v/>
      </c>
      <c r="B19" s="19" t="inlineStr">
        <is>
          <t>良い</t>
        </is>
      </c>
      <c r="C19" s="19" t="inlineStr">
        <is>
          <t>プラント・エンジ</t>
        </is>
      </c>
      <c r="D19" s="20" t="inlineStr">
        <is>
          <t>千代田化工建設</t>
        </is>
      </c>
      <c r="E19" s="20" t="inlineStr">
        <is>
          <t>技術系</t>
        </is>
      </c>
      <c r="F19" s="21" t="n">
        <v>850</v>
      </c>
      <c r="G19" s="19" t="n">
        <v>4</v>
      </c>
      <c r="H19" s="19" t="inlineStr">
        <is>
          <t>未応募</t>
        </is>
      </c>
      <c r="I19" s="22" t="n"/>
      <c r="J19" s="19" t="inlineStr">
        <is>
          <t>未応募</t>
        </is>
      </c>
      <c r="K19" s="22" t="n"/>
      <c r="L19" s="23">
        <f>IF(COUNT(I19,K19)=0,"",MIN(I19,K19))</f>
        <v/>
      </c>
      <c r="M19" s="24">
        <f>IF(L19="","",L19-TODAY())</f>
        <v/>
      </c>
      <c r="N19" s="25">
        <f>IF(D19="","",IF(B19="最高",30,IF(B19="良い",20,IF(B19="滑り止め",10,0)))+N(G19)*2+IF(F19="",0,MIN(F19/100,15)))</f>
        <v/>
      </c>
      <c r="O19" s="20" t="inlineStr"/>
    </row>
    <row r="20">
      <c r="A20" s="18">
        <f>IF(D20="","",ROW()-4)</f>
        <v/>
      </c>
      <c r="B20" s="19" t="inlineStr">
        <is>
          <t>良い</t>
        </is>
      </c>
      <c r="C20" s="19" t="inlineStr">
        <is>
          <t>技術営業</t>
        </is>
      </c>
      <c r="D20" s="20" t="inlineStr">
        <is>
          <t>（候補）キーエンス</t>
        </is>
      </c>
      <c r="E20" s="20" t="inlineStr">
        <is>
          <t>技術営業</t>
        </is>
      </c>
      <c r="F20" s="21" t="n">
        <v>2000</v>
      </c>
      <c r="G20" s="19" t="n">
        <v>3</v>
      </c>
      <c r="H20" s="19" t="inlineStr">
        <is>
          <t>未応募</t>
        </is>
      </c>
      <c r="I20" s="22" t="n"/>
      <c r="J20" s="19" t="inlineStr">
        <is>
          <t>未応募</t>
        </is>
      </c>
      <c r="K20" s="22" t="n"/>
      <c r="L20" s="23">
        <f>IF(COUNT(I20,K20)=0,"",MIN(I20,K20))</f>
        <v/>
      </c>
      <c r="M20" s="24">
        <f>IF(L20="","",L20-TODAY())</f>
        <v/>
      </c>
      <c r="N20" s="25">
        <f>IF(D20="","",IF(B20="最高",30,IF(B20="良い",20,IF(B20="滑り止め",10,0)))+N(G20)*2+IF(F20="",0,MIN(F20/100,15)))</f>
        <v/>
      </c>
      <c r="O20" s="20" t="inlineStr">
        <is>
          <t>技術営業で給料高い枠の候補。不要なら行を削除</t>
        </is>
      </c>
    </row>
    <row r="21">
      <c r="A21" s="18">
        <f>IF(D21="","",ROW()-4)</f>
        <v/>
      </c>
      <c r="B21" s="19" t="inlineStr">
        <is>
          <t>良い</t>
        </is>
      </c>
      <c r="C21" s="19" t="inlineStr">
        <is>
          <t>半導体・電機メーカー</t>
        </is>
      </c>
      <c r="D21" s="20" t="inlineStr">
        <is>
          <t>東京エレクトロン</t>
        </is>
      </c>
      <c r="E21" s="20" t="inlineStr">
        <is>
          <t>文系職（営業・管理系）</t>
        </is>
      </c>
      <c r="F21" s="21" t="n">
        <v>950</v>
      </c>
      <c r="G21" s="19" t="n">
        <v>4</v>
      </c>
      <c r="H21" s="19" t="inlineStr">
        <is>
          <t>未応募</t>
        </is>
      </c>
      <c r="I21" s="22" t="n"/>
      <c r="J21" s="19" t="inlineStr">
        <is>
          <t>未応募</t>
        </is>
      </c>
      <c r="K21" s="22" t="n"/>
      <c r="L21" s="23">
        <f>IF(COUNT(I21,K21)=0,"",MIN(I21,K21))</f>
        <v/>
      </c>
      <c r="M21" s="24">
        <f>IF(L21="","",L21-TODAY())</f>
        <v/>
      </c>
      <c r="N21" s="25">
        <f>IF(D21="","",IF(B21="最高",30,IF(B21="良い",20,IF(B21="滑り止め",10,0)))+N(G21)*2+IF(F21="",0,MIN(F21/100,15)))</f>
        <v/>
      </c>
      <c r="O21" s="20" t="inlineStr">
        <is>
          <t>文系職で応募。950=口コミの営業職平均935万・総合職965万（OpenWork）。有報の全社平均は1,354万（2025/3期・平均43.5歳）</t>
        </is>
      </c>
    </row>
    <row r="22">
      <c r="A22" s="18">
        <f>IF(D22="","",ROW()-4)</f>
        <v/>
      </c>
      <c r="B22" s="19" t="inlineStr">
        <is>
          <t>良い</t>
        </is>
      </c>
      <c r="C22" s="19" t="inlineStr">
        <is>
          <t>IT</t>
        </is>
      </c>
      <c r="D22" s="20" t="inlineStr">
        <is>
          <t>（候補）NTTデータ</t>
        </is>
      </c>
      <c r="E22" s="20" t="inlineStr">
        <is>
          <t>SE／コンサル</t>
        </is>
      </c>
      <c r="F22" s="21" t="n">
        <v>850</v>
      </c>
      <c r="G22" s="19" t="n">
        <v>3</v>
      </c>
      <c r="H22" s="19" t="inlineStr">
        <is>
          <t>未応募</t>
        </is>
      </c>
      <c r="I22" s="22" t="n"/>
      <c r="J22" s="19" t="inlineStr">
        <is>
          <t>未応募</t>
        </is>
      </c>
      <c r="K22" s="22" t="n"/>
      <c r="L22" s="23">
        <f>IF(COUNT(I22,K22)=0,"",MIN(I22,K22))</f>
        <v/>
      </c>
      <c r="M22" s="24">
        <f>IF(L22="","",L22-TODAY())</f>
        <v/>
      </c>
      <c r="N22" s="25">
        <f>IF(D22="","",IF(B22="最高",30,IF(B22="良い",20,IF(B22="滑り止め",10,0)))+N(G22)*2+IF(F22="",0,MIN(F22/100,15)))</f>
        <v/>
      </c>
      <c r="O22" s="20" t="inlineStr">
        <is>
          <t>ITで給料高い枠の候補</t>
        </is>
      </c>
    </row>
    <row r="23">
      <c r="A23" s="18">
        <f>IF(D23="","",ROW()-4)</f>
        <v/>
      </c>
      <c r="B23" s="19" t="inlineStr">
        <is>
          <t>良い</t>
        </is>
      </c>
      <c r="C23" s="19" t="inlineStr">
        <is>
          <t>IT</t>
        </is>
      </c>
      <c r="D23" s="20" t="inlineStr">
        <is>
          <t>（候補）伊藤忠テクノソリューションズ</t>
        </is>
      </c>
      <c r="E23" s="20" t="inlineStr">
        <is>
          <t>SE／技術営業</t>
        </is>
      </c>
      <c r="F23" s="21" t="n">
        <v>950</v>
      </c>
      <c r="G23" s="19" t="n">
        <v>3</v>
      </c>
      <c r="H23" s="19" t="inlineStr">
        <is>
          <t>未応募</t>
        </is>
      </c>
      <c r="I23" s="22" t="n"/>
      <c r="J23" s="19" t="inlineStr">
        <is>
          <t>未応募</t>
        </is>
      </c>
      <c r="K23" s="22" t="n"/>
      <c r="L23" s="23">
        <f>IF(COUNT(I23,K23)=0,"",MIN(I23,K23))</f>
        <v/>
      </c>
      <c r="M23" s="24">
        <f>IF(L23="","",L23-TODAY())</f>
        <v/>
      </c>
      <c r="N23" s="25">
        <f>IF(D23="","",IF(B23="最高",30,IF(B23="良い",20,IF(B23="滑り止め",10,0)))+N(G23)*2+IF(F23="",0,MIN(F23/100,15)))</f>
        <v/>
      </c>
      <c r="O23" s="20" t="inlineStr">
        <is>
          <t>ITで給料高い枠の候補</t>
        </is>
      </c>
    </row>
    <row r="24">
      <c r="A24" s="18">
        <f>IF(D24="","",ROW()-4)</f>
        <v/>
      </c>
      <c r="B24" s="19" t="inlineStr">
        <is>
          <t>滑り止め</t>
        </is>
      </c>
      <c r="C24" s="19" t="inlineStr">
        <is>
          <t>鉄鋼・素材</t>
        </is>
      </c>
      <c r="D24" s="20" t="inlineStr">
        <is>
          <t>神戸製鋼所</t>
        </is>
      </c>
      <c r="E24" s="20" t="inlineStr">
        <is>
          <t>技術系</t>
        </is>
      </c>
      <c r="F24" s="21" t="n">
        <v>750</v>
      </c>
      <c r="G24" s="19" t="n">
        <v>3</v>
      </c>
      <c r="H24" s="19" t="inlineStr">
        <is>
          <t>未応募</t>
        </is>
      </c>
      <c r="I24" s="22" t="n"/>
      <c r="J24" s="19" t="inlineStr">
        <is>
          <t>未応募</t>
        </is>
      </c>
      <c r="K24" s="22" t="n"/>
      <c r="L24" s="23">
        <f>IF(COUNT(I24,K24)=0,"",MIN(I24,K24))</f>
        <v/>
      </c>
      <c r="M24" s="24">
        <f>IF(L24="","",L24-TODAY())</f>
        <v/>
      </c>
      <c r="N24" s="25">
        <f>IF(D24="","",IF(B24="最高",30,IF(B24="良い",20,IF(B24="滑り止め",10,0)))+N(G24)*2+IF(F24="",0,MIN(F24/100,15)))</f>
        <v/>
      </c>
      <c r="O24" s="20" t="inlineStr"/>
    </row>
    <row r="25">
      <c r="A25" s="18">
        <f>IF(D25="","",ROW()-4)</f>
        <v/>
      </c>
      <c r="B25" s="19" t="inlineStr">
        <is>
          <t>滑り止め</t>
        </is>
      </c>
      <c r="C25" s="19" t="inlineStr">
        <is>
          <t>化学</t>
        </is>
      </c>
      <c r="D25" s="20" t="inlineStr">
        <is>
          <t>住友化学</t>
        </is>
      </c>
      <c r="E25" s="20" t="inlineStr">
        <is>
          <t>技術系</t>
        </is>
      </c>
      <c r="F25" s="21" t="n">
        <v>900</v>
      </c>
      <c r="G25" s="19" t="n">
        <v>3</v>
      </c>
      <c r="H25" s="19" t="inlineStr">
        <is>
          <t>参加済み</t>
        </is>
      </c>
      <c r="I25" s="22" t="n"/>
      <c r="J25" s="19" t="inlineStr">
        <is>
          <t>未応募</t>
        </is>
      </c>
      <c r="K25" s="22" t="n"/>
      <c r="L25" s="23">
        <f>IF(COUNT(I25,K25)=0,"",MIN(I25,K25))</f>
        <v/>
      </c>
      <c r="M25" s="24">
        <f>IF(L25="","",L25-TODAY())</f>
        <v/>
      </c>
      <c r="N25" s="25">
        <f>IF(D25="","",IF(B25="最高",30,IF(B25="良い",20,IF(B25="滑り止め",10,0)))+N(G25)*2+IF(F25="",0,MIN(F25/100,15)))</f>
        <v/>
      </c>
      <c r="O25" s="20" t="inlineStr">
        <is>
          <t>夏インターン参加済み → 本選考で優遇の可能性あり</t>
        </is>
      </c>
    </row>
    <row r="26">
      <c r="A26" s="18">
        <f>IF(D26="","",ROW()-4)</f>
        <v/>
      </c>
      <c r="B26" s="19" t="inlineStr">
        <is>
          <t>滑り止め</t>
        </is>
      </c>
      <c r="C26" s="19" t="inlineStr">
        <is>
          <t>コンサル</t>
        </is>
      </c>
      <c r="D26" s="20" t="inlineStr">
        <is>
          <t>（候補）アビームコンサルティング</t>
        </is>
      </c>
      <c r="E26" s="20" t="inlineStr">
        <is>
          <t>コンサル</t>
        </is>
      </c>
      <c r="F26" s="21" t="n">
        <v>850</v>
      </c>
      <c r="G26" s="19" t="n">
        <v>3</v>
      </c>
      <c r="H26" s="19" t="inlineStr">
        <is>
          <t>未応募</t>
        </is>
      </c>
      <c r="I26" s="22" t="n"/>
      <c r="J26" s="19" t="inlineStr">
        <is>
          <t>未応募</t>
        </is>
      </c>
      <c r="K26" s="22" t="n"/>
      <c r="L26" s="23">
        <f>IF(COUNT(I26,K26)=0,"",MIN(I26,K26))</f>
        <v/>
      </c>
      <c r="M26" s="24">
        <f>IF(L26="","",L26-TODAY())</f>
        <v/>
      </c>
      <c r="N26" s="25">
        <f>IF(D26="","",IF(B26="最高",30,IF(B26="良い",20,IF(B26="滑り止め",10,0)))+N(G26)*2+IF(F26="",0,MIN(F26/100,15)))</f>
        <v/>
      </c>
      <c r="O26" s="20" t="inlineStr">
        <is>
          <t>コンサル（給料やや低め）枠の候補</t>
        </is>
      </c>
    </row>
    <row r="27">
      <c r="A27" s="18">
        <f>IF(D27="","",ROW()-4)</f>
        <v/>
      </c>
      <c r="B27" s="19" t="inlineStr">
        <is>
          <t>滑り止め</t>
        </is>
      </c>
      <c r="C27" s="19" t="inlineStr">
        <is>
          <t>コンサル</t>
        </is>
      </c>
      <c r="D27" s="20" t="inlineStr">
        <is>
          <t>（候補）日立コンサルティング</t>
        </is>
      </c>
      <c r="E27" s="20" t="inlineStr">
        <is>
          <t>コンサル</t>
        </is>
      </c>
      <c r="F27" s="21" t="n">
        <v>850</v>
      </c>
      <c r="G27" s="19" t="n">
        <v>3</v>
      </c>
      <c r="H27" s="19" t="inlineStr">
        <is>
          <t>未応募</t>
        </is>
      </c>
      <c r="I27" s="22" t="n"/>
      <c r="J27" s="19" t="inlineStr">
        <is>
          <t>未応募</t>
        </is>
      </c>
      <c r="K27" s="22" t="n"/>
      <c r="L27" s="23">
        <f>IF(COUNT(I27,K27)=0,"",MIN(I27,K27))</f>
        <v/>
      </c>
      <c r="M27" s="24">
        <f>IF(L27="","",L27-TODAY())</f>
        <v/>
      </c>
      <c r="N27" s="25">
        <f>IF(D27="","",IF(B27="最高",30,IF(B27="良い",20,IF(B27="滑り止め",10,0)))+N(G27)*2+IF(F27="",0,MIN(F27/100,15)))</f>
        <v/>
      </c>
      <c r="O27" s="20" t="inlineStr">
        <is>
          <t>コンサル（給料やや低め）枠の候補</t>
        </is>
      </c>
    </row>
    <row r="28">
      <c r="A28" s="18">
        <f>IF(D28="","",ROW()-4)</f>
        <v/>
      </c>
      <c r="B28" s="19" t="n"/>
      <c r="C28" s="19" t="n"/>
      <c r="D28" s="20" t="n"/>
      <c r="E28" s="20" t="n"/>
      <c r="F28" s="21" t="n"/>
      <c r="G28" s="19" t="n"/>
      <c r="H28" s="19" t="n"/>
      <c r="I28" s="22" t="n"/>
      <c r="J28" s="19" t="n"/>
      <c r="K28" s="22" t="n"/>
      <c r="L28" s="23">
        <f>IF(COUNT(I28,K28)=0,"",MIN(I28,K28))</f>
        <v/>
      </c>
      <c r="M28" s="24">
        <f>IF(L28="","",L28-TODAY())</f>
        <v/>
      </c>
      <c r="N28" s="25">
        <f>IF(D28="","",IF(B28="最高",30,IF(B28="良い",20,IF(B28="滑り止め",10,0)))+N(G28)*2+IF(F28="",0,MIN(F28/100,15)))</f>
        <v/>
      </c>
      <c r="O28" s="20" t="n"/>
    </row>
    <row r="29">
      <c r="A29" s="18">
        <f>IF(D29="","",ROW()-4)</f>
        <v/>
      </c>
      <c r="B29" s="19" t="n"/>
      <c r="C29" s="19" t="n"/>
      <c r="D29" s="20" t="n"/>
      <c r="E29" s="20" t="n"/>
      <c r="F29" s="21" t="n"/>
      <c r="G29" s="19" t="n"/>
      <c r="H29" s="19" t="n"/>
      <c r="I29" s="22" t="n"/>
      <c r="J29" s="19" t="n"/>
      <c r="K29" s="22" t="n"/>
      <c r="L29" s="23">
        <f>IF(COUNT(I29,K29)=0,"",MIN(I29,K29))</f>
        <v/>
      </c>
      <c r="M29" s="24">
        <f>IF(L29="","",L29-TODAY())</f>
        <v/>
      </c>
      <c r="N29" s="25">
        <f>IF(D29="","",IF(B29="最高",30,IF(B29="良い",20,IF(B29="滑り止め",10,0)))+N(G29)*2+IF(F29="",0,MIN(F29/100,15)))</f>
        <v/>
      </c>
      <c r="O29" s="20" t="n"/>
    </row>
    <row r="30">
      <c r="A30" s="18">
        <f>IF(D30="","",ROW()-4)</f>
        <v/>
      </c>
      <c r="B30" s="19" t="n"/>
      <c r="C30" s="19" t="n"/>
      <c r="D30" s="20" t="n"/>
      <c r="E30" s="20" t="n"/>
      <c r="F30" s="21" t="n"/>
      <c r="G30" s="19" t="n"/>
      <c r="H30" s="19" t="n"/>
      <c r="I30" s="22" t="n"/>
      <c r="J30" s="19" t="n"/>
      <c r="K30" s="22" t="n"/>
      <c r="L30" s="23">
        <f>IF(COUNT(I30,K30)=0,"",MIN(I30,K30))</f>
        <v/>
      </c>
      <c r="M30" s="24">
        <f>IF(L30="","",L30-TODAY())</f>
        <v/>
      </c>
      <c r="N30" s="25">
        <f>IF(D30="","",IF(B30="最高",30,IF(B30="良い",20,IF(B30="滑り止め",10,0)))+N(G30)*2+IF(F30="",0,MIN(F30/100,15)))</f>
        <v/>
      </c>
      <c r="O30" s="20" t="n"/>
    </row>
    <row r="31">
      <c r="A31" s="18">
        <f>IF(D31="","",ROW()-4)</f>
        <v/>
      </c>
      <c r="B31" s="19" t="n"/>
      <c r="C31" s="19" t="n"/>
      <c r="D31" s="20" t="n"/>
      <c r="E31" s="20" t="n"/>
      <c r="F31" s="21" t="n"/>
      <c r="G31" s="19" t="n"/>
      <c r="H31" s="19" t="n"/>
      <c r="I31" s="22" t="n"/>
      <c r="J31" s="19" t="n"/>
      <c r="K31" s="22" t="n"/>
      <c r="L31" s="23">
        <f>IF(COUNT(I31,K31)=0,"",MIN(I31,K31))</f>
        <v/>
      </c>
      <c r="M31" s="24">
        <f>IF(L31="","",L31-TODAY())</f>
        <v/>
      </c>
      <c r="N31" s="25">
        <f>IF(D31="","",IF(B31="最高",30,IF(B31="良い",20,IF(B31="滑り止め",10,0)))+N(G31)*2+IF(F31="",0,MIN(F31/100,15)))</f>
        <v/>
      </c>
      <c r="O31" s="20" t="n"/>
    </row>
    <row r="32">
      <c r="A32" s="18">
        <f>IF(D32="","",ROW()-4)</f>
        <v/>
      </c>
      <c r="B32" s="19" t="n"/>
      <c r="C32" s="19" t="n"/>
      <c r="D32" s="20" t="n"/>
      <c r="E32" s="20" t="n"/>
      <c r="F32" s="21" t="n"/>
      <c r="G32" s="19" t="n"/>
      <c r="H32" s="19" t="n"/>
      <c r="I32" s="22" t="n"/>
      <c r="J32" s="19" t="n"/>
      <c r="K32" s="22" t="n"/>
      <c r="L32" s="23">
        <f>IF(COUNT(I32,K32)=0,"",MIN(I32,K32))</f>
        <v/>
      </c>
      <c r="M32" s="24">
        <f>IF(L32="","",L32-TODAY())</f>
        <v/>
      </c>
      <c r="N32" s="25">
        <f>IF(D32="","",IF(B32="最高",30,IF(B32="良い",20,IF(B32="滑り止め",10,0)))+N(G32)*2+IF(F32="",0,MIN(F32/100,15)))</f>
        <v/>
      </c>
      <c r="O32" s="20" t="n"/>
    </row>
    <row r="33">
      <c r="A33" s="18">
        <f>IF(D33="","",ROW()-4)</f>
        <v/>
      </c>
      <c r="B33" s="19" t="n"/>
      <c r="C33" s="19" t="n"/>
      <c r="D33" s="20" t="n"/>
      <c r="E33" s="20" t="n"/>
      <c r="F33" s="21" t="n"/>
      <c r="G33" s="19" t="n"/>
      <c r="H33" s="19" t="n"/>
      <c r="I33" s="22" t="n"/>
      <c r="J33" s="19" t="n"/>
      <c r="K33" s="22" t="n"/>
      <c r="L33" s="23">
        <f>IF(COUNT(I33,K33)=0,"",MIN(I33,K33))</f>
        <v/>
      </c>
      <c r="M33" s="24">
        <f>IF(L33="","",L33-TODAY())</f>
        <v/>
      </c>
      <c r="N33" s="25">
        <f>IF(D33="","",IF(B33="最高",30,IF(B33="良い",20,IF(B33="滑り止め",10,0)))+N(G33)*2+IF(F33="",0,MIN(F33/100,15)))</f>
        <v/>
      </c>
      <c r="O33" s="20" t="n"/>
    </row>
    <row r="34">
      <c r="A34" s="18">
        <f>IF(D34="","",ROW()-4)</f>
        <v/>
      </c>
      <c r="B34" s="19" t="n"/>
      <c r="C34" s="19" t="n"/>
      <c r="D34" s="20" t="n"/>
      <c r="E34" s="20" t="n"/>
      <c r="F34" s="21" t="n"/>
      <c r="G34" s="19" t="n"/>
      <c r="H34" s="19" t="n"/>
      <c r="I34" s="22" t="n"/>
      <c r="J34" s="19" t="n"/>
      <c r="K34" s="22" t="n"/>
      <c r="L34" s="23">
        <f>IF(COUNT(I34,K34)=0,"",MIN(I34,K34))</f>
        <v/>
      </c>
      <c r="M34" s="24">
        <f>IF(L34="","",L34-TODAY())</f>
        <v/>
      </c>
      <c r="N34" s="25">
        <f>IF(D34="","",IF(B34="最高",30,IF(B34="良い",20,IF(B34="滑り止め",10,0)))+N(G34)*2+IF(F34="",0,MIN(F34/100,15)))</f>
        <v/>
      </c>
      <c r="O34" s="20" t="n"/>
    </row>
    <row r="35">
      <c r="A35" s="18">
        <f>IF(D35="","",ROW()-4)</f>
        <v/>
      </c>
      <c r="B35" s="19" t="n"/>
      <c r="C35" s="19" t="n"/>
      <c r="D35" s="20" t="n"/>
      <c r="E35" s="20" t="n"/>
      <c r="F35" s="21" t="n"/>
      <c r="G35" s="19" t="n"/>
      <c r="H35" s="19" t="n"/>
      <c r="I35" s="22" t="n"/>
      <c r="J35" s="19" t="n"/>
      <c r="K35" s="22" t="n"/>
      <c r="L35" s="23">
        <f>IF(COUNT(I35,K35)=0,"",MIN(I35,K35))</f>
        <v/>
      </c>
      <c r="M35" s="24">
        <f>IF(L35="","",L35-TODAY())</f>
        <v/>
      </c>
      <c r="N35" s="25">
        <f>IF(D35="","",IF(B35="最高",30,IF(B35="良い",20,IF(B35="滑り止め",10,0)))+N(G35)*2+IF(F35="",0,MIN(F35/100,15)))</f>
        <v/>
      </c>
      <c r="O35" s="20" t="n"/>
    </row>
    <row r="36">
      <c r="A36" s="18">
        <f>IF(D36="","",ROW()-4)</f>
        <v/>
      </c>
      <c r="B36" s="19" t="n"/>
      <c r="C36" s="19" t="n"/>
      <c r="D36" s="20" t="n"/>
      <c r="E36" s="20" t="n"/>
      <c r="F36" s="21" t="n"/>
      <c r="G36" s="19" t="n"/>
      <c r="H36" s="19" t="n"/>
      <c r="I36" s="22" t="n"/>
      <c r="J36" s="19" t="n"/>
      <c r="K36" s="22" t="n"/>
      <c r="L36" s="23">
        <f>IF(COUNT(I36,K36)=0,"",MIN(I36,K36))</f>
        <v/>
      </c>
      <c r="M36" s="24">
        <f>IF(L36="","",L36-TODAY())</f>
        <v/>
      </c>
      <c r="N36" s="25">
        <f>IF(D36="","",IF(B36="最高",30,IF(B36="良い",20,IF(B36="滑り止め",10,0)))+N(G36)*2+IF(F36="",0,MIN(F36/100,15)))</f>
        <v/>
      </c>
      <c r="O36" s="20" t="n"/>
    </row>
    <row r="37">
      <c r="A37" s="18">
        <f>IF(D37="","",ROW()-4)</f>
        <v/>
      </c>
      <c r="B37" s="19" t="n"/>
      <c r="C37" s="19" t="n"/>
      <c r="D37" s="20" t="n"/>
      <c r="E37" s="20" t="n"/>
      <c r="F37" s="21" t="n"/>
      <c r="G37" s="19" t="n"/>
      <c r="H37" s="19" t="n"/>
      <c r="I37" s="22" t="n"/>
      <c r="J37" s="19" t="n"/>
      <c r="K37" s="22" t="n"/>
      <c r="L37" s="23">
        <f>IF(COUNT(I37,K37)=0,"",MIN(I37,K37))</f>
        <v/>
      </c>
      <c r="M37" s="24">
        <f>IF(L37="","",L37-TODAY())</f>
        <v/>
      </c>
      <c r="N37" s="25">
        <f>IF(D37="","",IF(B37="最高",30,IF(B37="良い",20,IF(B37="滑り止め",10,0)))+N(G37)*2+IF(F37="",0,MIN(F37/100,15)))</f>
        <v/>
      </c>
      <c r="O37" s="20" t="n"/>
    </row>
    <row r="38">
      <c r="A38" s="18">
        <f>IF(D38="","",ROW()-4)</f>
        <v/>
      </c>
      <c r="B38" s="19" t="n"/>
      <c r="C38" s="19" t="n"/>
      <c r="D38" s="20" t="n"/>
      <c r="E38" s="20" t="n"/>
      <c r="F38" s="21" t="n"/>
      <c r="G38" s="19" t="n"/>
      <c r="H38" s="19" t="n"/>
      <c r="I38" s="22" t="n"/>
      <c r="J38" s="19" t="n"/>
      <c r="K38" s="22" t="n"/>
      <c r="L38" s="23">
        <f>IF(COUNT(I38,K38)=0,"",MIN(I38,K38))</f>
        <v/>
      </c>
      <c r="M38" s="24">
        <f>IF(L38="","",L38-TODAY())</f>
        <v/>
      </c>
      <c r="N38" s="25">
        <f>IF(D38="","",IF(B38="最高",30,IF(B38="良い",20,IF(B38="滑り止め",10,0)))+N(G38)*2+IF(F38="",0,MIN(F38/100,15)))</f>
        <v/>
      </c>
      <c r="O38" s="20" t="n"/>
    </row>
    <row r="39">
      <c r="A39" s="18">
        <f>IF(D39="","",ROW()-4)</f>
        <v/>
      </c>
      <c r="B39" s="19" t="n"/>
      <c r="C39" s="19" t="n"/>
      <c r="D39" s="20" t="n"/>
      <c r="E39" s="20" t="n"/>
      <c r="F39" s="21" t="n"/>
      <c r="G39" s="19" t="n"/>
      <c r="H39" s="19" t="n"/>
      <c r="I39" s="22" t="n"/>
      <c r="J39" s="19" t="n"/>
      <c r="K39" s="22" t="n"/>
      <c r="L39" s="23">
        <f>IF(COUNT(I39,K39)=0,"",MIN(I39,K39))</f>
        <v/>
      </c>
      <c r="M39" s="24">
        <f>IF(L39="","",L39-TODAY())</f>
        <v/>
      </c>
      <c r="N39" s="25">
        <f>IF(D39="","",IF(B39="最高",30,IF(B39="良い",20,IF(B39="滑り止め",10,0)))+N(G39)*2+IF(F39="",0,MIN(F39/100,15)))</f>
        <v/>
      </c>
      <c r="O39" s="20" t="n"/>
    </row>
    <row r="40">
      <c r="A40" s="18">
        <f>IF(D40="","",ROW()-4)</f>
        <v/>
      </c>
      <c r="B40" s="19" t="n"/>
      <c r="C40" s="19" t="n"/>
      <c r="D40" s="20" t="n"/>
      <c r="E40" s="20" t="n"/>
      <c r="F40" s="21" t="n"/>
      <c r="G40" s="19" t="n"/>
      <c r="H40" s="19" t="n"/>
      <c r="I40" s="22" t="n"/>
      <c r="J40" s="19" t="n"/>
      <c r="K40" s="22" t="n"/>
      <c r="L40" s="23">
        <f>IF(COUNT(I40,K40)=0,"",MIN(I40,K40))</f>
        <v/>
      </c>
      <c r="M40" s="24">
        <f>IF(L40="","",L40-TODAY())</f>
        <v/>
      </c>
      <c r="N40" s="25">
        <f>IF(D40="","",IF(B40="最高",30,IF(B40="良い",20,IF(B40="滑り止め",10,0)))+N(G40)*2+IF(F40="",0,MIN(F40/100,15)))</f>
        <v/>
      </c>
      <c r="O40" s="20" t="n"/>
    </row>
    <row r="41">
      <c r="A41" s="18">
        <f>IF(D41="","",ROW()-4)</f>
        <v/>
      </c>
      <c r="B41" s="19" t="n"/>
      <c r="C41" s="19" t="n"/>
      <c r="D41" s="20" t="n"/>
      <c r="E41" s="20" t="n"/>
      <c r="F41" s="21" t="n"/>
      <c r="G41" s="19" t="n"/>
      <c r="H41" s="19" t="n"/>
      <c r="I41" s="22" t="n"/>
      <c r="J41" s="19" t="n"/>
      <c r="K41" s="22" t="n"/>
      <c r="L41" s="23">
        <f>IF(COUNT(I41,K41)=0,"",MIN(I41,K41))</f>
        <v/>
      </c>
      <c r="M41" s="24">
        <f>IF(L41="","",L41-TODAY())</f>
        <v/>
      </c>
      <c r="N41" s="25">
        <f>IF(D41="","",IF(B41="最高",30,IF(B41="良い",20,IF(B41="滑り止め",10,0)))+N(G41)*2+IF(F41="",0,MIN(F41/100,15)))</f>
        <v/>
      </c>
      <c r="O41" s="20" t="n"/>
    </row>
    <row r="42">
      <c r="A42" s="18">
        <f>IF(D42="","",ROW()-4)</f>
        <v/>
      </c>
      <c r="B42" s="19" t="n"/>
      <c r="C42" s="19" t="n"/>
      <c r="D42" s="20" t="n"/>
      <c r="E42" s="20" t="n"/>
      <c r="F42" s="21" t="n"/>
      <c r="G42" s="19" t="n"/>
      <c r="H42" s="19" t="n"/>
      <c r="I42" s="22" t="n"/>
      <c r="J42" s="19" t="n"/>
      <c r="K42" s="22" t="n"/>
      <c r="L42" s="23">
        <f>IF(COUNT(I42,K42)=0,"",MIN(I42,K42))</f>
        <v/>
      </c>
      <c r="M42" s="24">
        <f>IF(L42="","",L42-TODAY())</f>
        <v/>
      </c>
      <c r="N42" s="25">
        <f>IF(D42="","",IF(B42="最高",30,IF(B42="良い",20,IF(B42="滑り止め",10,0)))+N(G42)*2+IF(F42="",0,MIN(F42/100,15)))</f>
        <v/>
      </c>
      <c r="O42" s="20" t="n"/>
    </row>
    <row r="43">
      <c r="A43" s="18">
        <f>IF(D43="","",ROW()-4)</f>
        <v/>
      </c>
      <c r="B43" s="19" t="n"/>
      <c r="C43" s="19" t="n"/>
      <c r="D43" s="20" t="n"/>
      <c r="E43" s="20" t="n"/>
      <c r="F43" s="21" t="n"/>
      <c r="G43" s="19" t="n"/>
      <c r="H43" s="19" t="n"/>
      <c r="I43" s="22" t="n"/>
      <c r="J43" s="19" t="n"/>
      <c r="K43" s="22" t="n"/>
      <c r="L43" s="23">
        <f>IF(COUNT(I43,K43)=0,"",MIN(I43,K43))</f>
        <v/>
      </c>
      <c r="M43" s="24">
        <f>IF(L43="","",L43-TODAY())</f>
        <v/>
      </c>
      <c r="N43" s="25">
        <f>IF(D43="","",IF(B43="最高",30,IF(B43="良い",20,IF(B43="滑り止め",10,0)))+N(G43)*2+IF(F43="",0,MIN(F43/100,15)))</f>
        <v/>
      </c>
      <c r="O43" s="20" t="n"/>
    </row>
    <row r="44">
      <c r="A44" s="18">
        <f>IF(D44="","",ROW()-4)</f>
        <v/>
      </c>
      <c r="B44" s="19" t="n"/>
      <c r="C44" s="19" t="n"/>
      <c r="D44" s="20" t="n"/>
      <c r="E44" s="20" t="n"/>
      <c r="F44" s="21" t="n"/>
      <c r="G44" s="19" t="n"/>
      <c r="H44" s="19" t="n"/>
      <c r="I44" s="22" t="n"/>
      <c r="J44" s="19" t="n"/>
      <c r="K44" s="22" t="n"/>
      <c r="L44" s="23">
        <f>IF(COUNT(I44,K44)=0,"",MIN(I44,K44))</f>
        <v/>
      </c>
      <c r="M44" s="24">
        <f>IF(L44="","",L44-TODAY())</f>
        <v/>
      </c>
      <c r="N44" s="25">
        <f>IF(D44="","",IF(B44="最高",30,IF(B44="良い",20,IF(B44="滑り止め",10,0)))+N(G44)*2+IF(F44="",0,MIN(F44/100,15)))</f>
        <v/>
      </c>
      <c r="O44" s="20" t="n"/>
    </row>
    <row r="45">
      <c r="A45" s="18">
        <f>IF(D45="","",ROW()-4)</f>
        <v/>
      </c>
      <c r="B45" s="19" t="n"/>
      <c r="C45" s="19" t="n"/>
      <c r="D45" s="20" t="n"/>
      <c r="E45" s="20" t="n"/>
      <c r="F45" s="21" t="n"/>
      <c r="G45" s="19" t="n"/>
      <c r="H45" s="19" t="n"/>
      <c r="I45" s="22" t="n"/>
      <c r="J45" s="19" t="n"/>
      <c r="K45" s="22" t="n"/>
      <c r="L45" s="23">
        <f>IF(COUNT(I45,K45)=0,"",MIN(I45,K45))</f>
        <v/>
      </c>
      <c r="M45" s="24">
        <f>IF(L45="","",L45-TODAY())</f>
        <v/>
      </c>
      <c r="N45" s="25">
        <f>IF(D45="","",IF(B45="最高",30,IF(B45="良い",20,IF(B45="滑り止め",10,0)))+N(G45)*2+IF(F45="",0,MIN(F45/100,15)))</f>
        <v/>
      </c>
      <c r="O45" s="20" t="n"/>
    </row>
    <row r="46">
      <c r="A46" s="18">
        <f>IF(D46="","",ROW()-4)</f>
        <v/>
      </c>
      <c r="B46" s="19" t="n"/>
      <c r="C46" s="19" t="n"/>
      <c r="D46" s="20" t="n"/>
      <c r="E46" s="20" t="n"/>
      <c r="F46" s="21" t="n"/>
      <c r="G46" s="19" t="n"/>
      <c r="H46" s="19" t="n"/>
      <c r="I46" s="22" t="n"/>
      <c r="J46" s="19" t="n"/>
      <c r="K46" s="22" t="n"/>
      <c r="L46" s="23">
        <f>IF(COUNT(I46,K46)=0,"",MIN(I46,K46))</f>
        <v/>
      </c>
      <c r="M46" s="24">
        <f>IF(L46="","",L46-TODAY())</f>
        <v/>
      </c>
      <c r="N46" s="25">
        <f>IF(D46="","",IF(B46="最高",30,IF(B46="良い",20,IF(B46="滑り止め",10,0)))+N(G46)*2+IF(F46="",0,MIN(F46/100,15)))</f>
        <v/>
      </c>
      <c r="O46" s="20" t="n"/>
    </row>
    <row r="47">
      <c r="A47" s="18">
        <f>IF(D47="","",ROW()-4)</f>
        <v/>
      </c>
      <c r="B47" s="19" t="n"/>
      <c r="C47" s="19" t="n"/>
      <c r="D47" s="20" t="n"/>
      <c r="E47" s="20" t="n"/>
      <c r="F47" s="21" t="n"/>
      <c r="G47" s="19" t="n"/>
      <c r="H47" s="19" t="n"/>
      <c r="I47" s="22" t="n"/>
      <c r="J47" s="19" t="n"/>
      <c r="K47" s="22" t="n"/>
      <c r="L47" s="23">
        <f>IF(COUNT(I47,K47)=0,"",MIN(I47,K47))</f>
        <v/>
      </c>
      <c r="M47" s="24">
        <f>IF(L47="","",L47-TODAY())</f>
        <v/>
      </c>
      <c r="N47" s="25">
        <f>IF(D47="","",IF(B47="最高",30,IF(B47="良い",20,IF(B47="滑り止め",10,0)))+N(G47)*2+IF(F47="",0,MIN(F47/100,15)))</f>
        <v/>
      </c>
      <c r="O47" s="20" t="n"/>
    </row>
    <row r="48">
      <c r="A48" s="18">
        <f>IF(D48="","",ROW()-4)</f>
        <v/>
      </c>
      <c r="B48" s="19" t="n"/>
      <c r="C48" s="19" t="n"/>
      <c r="D48" s="20" t="n"/>
      <c r="E48" s="20" t="n"/>
      <c r="F48" s="21" t="n"/>
      <c r="G48" s="19" t="n"/>
      <c r="H48" s="19" t="n"/>
      <c r="I48" s="22" t="n"/>
      <c r="J48" s="19" t="n"/>
      <c r="K48" s="22" t="n"/>
      <c r="L48" s="23">
        <f>IF(COUNT(I48,K48)=0,"",MIN(I48,K48))</f>
        <v/>
      </c>
      <c r="M48" s="24">
        <f>IF(L48="","",L48-TODAY())</f>
        <v/>
      </c>
      <c r="N48" s="25">
        <f>IF(D48="","",IF(B48="最高",30,IF(B48="良い",20,IF(B48="滑り止め",10,0)))+N(G48)*2+IF(F48="",0,MIN(F48/100,15)))</f>
        <v/>
      </c>
      <c r="O48" s="20" t="n"/>
    </row>
    <row r="49">
      <c r="A49" s="18">
        <f>IF(D49="","",ROW()-4)</f>
        <v/>
      </c>
      <c r="B49" s="19" t="n"/>
      <c r="C49" s="19" t="n"/>
      <c r="D49" s="20" t="n"/>
      <c r="E49" s="20" t="n"/>
      <c r="F49" s="21" t="n"/>
      <c r="G49" s="19" t="n"/>
      <c r="H49" s="19" t="n"/>
      <c r="I49" s="22" t="n"/>
      <c r="J49" s="19" t="n"/>
      <c r="K49" s="22" t="n"/>
      <c r="L49" s="23">
        <f>IF(COUNT(I49,K49)=0,"",MIN(I49,K49))</f>
        <v/>
      </c>
      <c r="M49" s="24">
        <f>IF(L49="","",L49-TODAY())</f>
        <v/>
      </c>
      <c r="N49" s="25">
        <f>IF(D49="","",IF(B49="最高",30,IF(B49="良い",20,IF(B49="滑り止め",10,0)))+N(G49)*2+IF(F49="",0,MIN(F49/100,15)))</f>
        <v/>
      </c>
      <c r="O49" s="20" t="n"/>
    </row>
    <row r="50">
      <c r="A50" s="18">
        <f>IF(D50="","",ROW()-4)</f>
        <v/>
      </c>
      <c r="B50" s="19" t="n"/>
      <c r="C50" s="19" t="n"/>
      <c r="D50" s="20" t="n"/>
      <c r="E50" s="20" t="n"/>
      <c r="F50" s="21" t="n"/>
      <c r="G50" s="19" t="n"/>
      <c r="H50" s="19" t="n"/>
      <c r="I50" s="22" t="n"/>
      <c r="J50" s="19" t="n"/>
      <c r="K50" s="22" t="n"/>
      <c r="L50" s="23">
        <f>IF(COUNT(I50,K50)=0,"",MIN(I50,K50))</f>
        <v/>
      </c>
      <c r="M50" s="24">
        <f>IF(L50="","",L50-TODAY())</f>
        <v/>
      </c>
      <c r="N50" s="25">
        <f>IF(D50="","",IF(B50="最高",30,IF(B50="良い",20,IF(B50="滑り止め",10,0)))+N(G50)*2+IF(F50="",0,MIN(F50/100,15)))</f>
        <v/>
      </c>
      <c r="O50" s="20" t="n"/>
    </row>
    <row r="51">
      <c r="A51" s="18">
        <f>IF(D51="","",ROW()-4)</f>
        <v/>
      </c>
      <c r="B51" s="19" t="n"/>
      <c r="C51" s="19" t="n"/>
      <c r="D51" s="20" t="n"/>
      <c r="E51" s="20" t="n"/>
      <c r="F51" s="21" t="n"/>
      <c r="G51" s="19" t="n"/>
      <c r="H51" s="19" t="n"/>
      <c r="I51" s="22" t="n"/>
      <c r="J51" s="19" t="n"/>
      <c r="K51" s="22" t="n"/>
      <c r="L51" s="23">
        <f>IF(COUNT(I51,K51)=0,"",MIN(I51,K51))</f>
        <v/>
      </c>
      <c r="M51" s="24">
        <f>IF(L51="","",L51-TODAY())</f>
        <v/>
      </c>
      <c r="N51" s="25">
        <f>IF(D51="","",IF(B51="最高",30,IF(B51="良い",20,IF(B51="滑り止め",10,0)))+N(G51)*2+IF(F51="",0,MIN(F51/100,15)))</f>
        <v/>
      </c>
      <c r="O51" s="20" t="n"/>
    </row>
    <row r="52">
      <c r="A52" s="18">
        <f>IF(D52="","",ROW()-4)</f>
        <v/>
      </c>
      <c r="B52" s="19" t="n"/>
      <c r="C52" s="19" t="n"/>
      <c r="D52" s="20" t="n"/>
      <c r="E52" s="20" t="n"/>
      <c r="F52" s="21" t="n"/>
      <c r="G52" s="19" t="n"/>
      <c r="H52" s="19" t="n"/>
      <c r="I52" s="22" t="n"/>
      <c r="J52" s="19" t="n"/>
      <c r="K52" s="22" t="n"/>
      <c r="L52" s="23">
        <f>IF(COUNT(I52,K52)=0,"",MIN(I52,K52))</f>
        <v/>
      </c>
      <c r="M52" s="24">
        <f>IF(L52="","",L52-TODAY())</f>
        <v/>
      </c>
      <c r="N52" s="25">
        <f>IF(D52="","",IF(B52="最高",30,IF(B52="良い",20,IF(B52="滑り止め",10,0)))+N(G52)*2+IF(F52="",0,MIN(F52/100,15)))</f>
        <v/>
      </c>
      <c r="O52" s="20" t="n"/>
    </row>
    <row r="53">
      <c r="A53" s="18">
        <f>IF(D53="","",ROW()-4)</f>
        <v/>
      </c>
      <c r="B53" s="19" t="n"/>
      <c r="C53" s="19" t="n"/>
      <c r="D53" s="20" t="n"/>
      <c r="E53" s="20" t="n"/>
      <c r="F53" s="21" t="n"/>
      <c r="G53" s="19" t="n"/>
      <c r="H53" s="19" t="n"/>
      <c r="I53" s="22" t="n"/>
      <c r="J53" s="19" t="n"/>
      <c r="K53" s="22" t="n"/>
      <c r="L53" s="23">
        <f>IF(COUNT(I53,K53)=0,"",MIN(I53,K53))</f>
        <v/>
      </c>
      <c r="M53" s="24">
        <f>IF(L53="","",L53-TODAY())</f>
        <v/>
      </c>
      <c r="N53" s="25">
        <f>IF(D53="","",IF(B53="最高",30,IF(B53="良い",20,IF(B53="滑り止め",10,0)))+N(G53)*2+IF(F53="",0,MIN(F53/100,15)))</f>
        <v/>
      </c>
      <c r="O53" s="20" t="n"/>
    </row>
    <row r="54">
      <c r="A54" s="18">
        <f>IF(D54="","",ROW()-4)</f>
        <v/>
      </c>
      <c r="B54" s="19" t="n"/>
      <c r="C54" s="19" t="n"/>
      <c r="D54" s="20" t="n"/>
      <c r="E54" s="20" t="n"/>
      <c r="F54" s="21" t="n"/>
      <c r="G54" s="19" t="n"/>
      <c r="H54" s="19" t="n"/>
      <c r="I54" s="22" t="n"/>
      <c r="J54" s="19" t="n"/>
      <c r="K54" s="22" t="n"/>
      <c r="L54" s="23">
        <f>IF(COUNT(I54,K54)=0,"",MIN(I54,K54))</f>
        <v/>
      </c>
      <c r="M54" s="24">
        <f>IF(L54="","",L54-TODAY())</f>
        <v/>
      </c>
      <c r="N54" s="25">
        <f>IF(D54="","",IF(B54="最高",30,IF(B54="良い",20,IF(B54="滑り止め",10,0)))+N(G54)*2+IF(F54="",0,MIN(F54/100,15)))</f>
        <v/>
      </c>
      <c r="O54" s="20" t="n"/>
    </row>
    <row r="55">
      <c r="A55" s="18">
        <f>IF(D55="","",ROW()-4)</f>
        <v/>
      </c>
      <c r="B55" s="19" t="n"/>
      <c r="C55" s="19" t="n"/>
      <c r="D55" s="20" t="n"/>
      <c r="E55" s="20" t="n"/>
      <c r="F55" s="21" t="n"/>
      <c r="G55" s="19" t="n"/>
      <c r="H55" s="19" t="n"/>
      <c r="I55" s="22" t="n"/>
      <c r="J55" s="19" t="n"/>
      <c r="K55" s="22" t="n"/>
      <c r="L55" s="23">
        <f>IF(COUNT(I55,K55)=0,"",MIN(I55,K55))</f>
        <v/>
      </c>
      <c r="M55" s="24">
        <f>IF(L55="","",L55-TODAY())</f>
        <v/>
      </c>
      <c r="N55" s="25">
        <f>IF(D55="","",IF(B55="最高",30,IF(B55="良い",20,IF(B55="滑り止め",10,0)))+N(G55)*2+IF(F55="",0,MIN(F55/100,15)))</f>
        <v/>
      </c>
      <c r="O55" s="20" t="n"/>
    </row>
    <row r="56">
      <c r="A56" s="18">
        <f>IF(D56="","",ROW()-4)</f>
        <v/>
      </c>
      <c r="B56" s="19" t="n"/>
      <c r="C56" s="19" t="n"/>
      <c r="D56" s="20" t="n"/>
      <c r="E56" s="20" t="n"/>
      <c r="F56" s="21" t="n"/>
      <c r="G56" s="19" t="n"/>
      <c r="H56" s="19" t="n"/>
      <c r="I56" s="22" t="n"/>
      <c r="J56" s="19" t="n"/>
      <c r="K56" s="22" t="n"/>
      <c r="L56" s="23">
        <f>IF(COUNT(I56,K56)=0,"",MIN(I56,K56))</f>
        <v/>
      </c>
      <c r="M56" s="24">
        <f>IF(L56="","",L56-TODAY())</f>
        <v/>
      </c>
      <c r="N56" s="25">
        <f>IF(D56="","",IF(B56="最高",30,IF(B56="良い",20,IF(B56="滑り止め",10,0)))+N(G56)*2+IF(F56="",0,MIN(F56/100,15)))</f>
        <v/>
      </c>
      <c r="O56" s="20" t="n"/>
    </row>
    <row r="57">
      <c r="A57" s="18">
        <f>IF(D57="","",ROW()-4)</f>
        <v/>
      </c>
      <c r="B57" s="19" t="n"/>
      <c r="C57" s="19" t="n"/>
      <c r="D57" s="20" t="n"/>
      <c r="E57" s="20" t="n"/>
      <c r="F57" s="21" t="n"/>
      <c r="G57" s="19" t="n"/>
      <c r="H57" s="19" t="n"/>
      <c r="I57" s="22" t="n"/>
      <c r="J57" s="19" t="n"/>
      <c r="K57" s="22" t="n"/>
      <c r="L57" s="23">
        <f>IF(COUNT(I57,K57)=0,"",MIN(I57,K57))</f>
        <v/>
      </c>
      <c r="M57" s="24">
        <f>IF(L57="","",L57-TODAY())</f>
        <v/>
      </c>
      <c r="N57" s="25">
        <f>IF(D57="","",IF(B57="最高",30,IF(B57="良い",20,IF(B57="滑り止め",10,0)))+N(G57)*2+IF(F57="",0,MIN(F57/100,15)))</f>
        <v/>
      </c>
      <c r="O57" s="20" t="n"/>
    </row>
    <row r="58">
      <c r="A58" s="18">
        <f>IF(D58="","",ROW()-4)</f>
        <v/>
      </c>
      <c r="B58" s="19" t="n"/>
      <c r="C58" s="19" t="n"/>
      <c r="D58" s="20" t="n"/>
      <c r="E58" s="20" t="n"/>
      <c r="F58" s="21" t="n"/>
      <c r="G58" s="19" t="n"/>
      <c r="H58" s="19" t="n"/>
      <c r="I58" s="22" t="n"/>
      <c r="J58" s="19" t="n"/>
      <c r="K58" s="22" t="n"/>
      <c r="L58" s="23">
        <f>IF(COUNT(I58,K58)=0,"",MIN(I58,K58))</f>
        <v/>
      </c>
      <c r="M58" s="24">
        <f>IF(L58="","",L58-TODAY())</f>
        <v/>
      </c>
      <c r="N58" s="25">
        <f>IF(D58="","",IF(B58="最高",30,IF(B58="良い",20,IF(B58="滑り止め",10,0)))+N(G58)*2+IF(F58="",0,MIN(F58/100,15)))</f>
        <v/>
      </c>
      <c r="O58" s="20" t="n"/>
    </row>
    <row r="59">
      <c r="A59" s="18">
        <f>IF(D59="","",ROW()-4)</f>
        <v/>
      </c>
      <c r="B59" s="19" t="n"/>
      <c r="C59" s="19" t="n"/>
      <c r="D59" s="20" t="n"/>
      <c r="E59" s="20" t="n"/>
      <c r="F59" s="21" t="n"/>
      <c r="G59" s="19" t="n"/>
      <c r="H59" s="19" t="n"/>
      <c r="I59" s="22" t="n"/>
      <c r="J59" s="19" t="n"/>
      <c r="K59" s="22" t="n"/>
      <c r="L59" s="23">
        <f>IF(COUNT(I59,K59)=0,"",MIN(I59,K59))</f>
        <v/>
      </c>
      <c r="M59" s="24">
        <f>IF(L59="","",L59-TODAY())</f>
        <v/>
      </c>
      <c r="N59" s="25">
        <f>IF(D59="","",IF(B59="最高",30,IF(B59="良い",20,IF(B59="滑り止め",10,0)))+N(G59)*2+IF(F59="",0,MIN(F59/100,15)))</f>
        <v/>
      </c>
      <c r="O59" s="20" t="n"/>
    </row>
    <row r="60">
      <c r="A60" s="18">
        <f>IF(D60="","",ROW()-4)</f>
        <v/>
      </c>
      <c r="B60" s="19" t="n"/>
      <c r="C60" s="19" t="n"/>
      <c r="D60" s="20" t="n"/>
      <c r="E60" s="20" t="n"/>
      <c r="F60" s="21" t="n"/>
      <c r="G60" s="19" t="n"/>
      <c r="H60" s="19" t="n"/>
      <c r="I60" s="22" t="n"/>
      <c r="J60" s="19" t="n"/>
      <c r="K60" s="22" t="n"/>
      <c r="L60" s="23">
        <f>IF(COUNT(I60,K60)=0,"",MIN(I60,K60))</f>
        <v/>
      </c>
      <c r="M60" s="24">
        <f>IF(L60="","",L60-TODAY())</f>
        <v/>
      </c>
      <c r="N60" s="25">
        <f>IF(D60="","",IF(B60="最高",30,IF(B60="良い",20,IF(B60="滑り止め",10,0)))+N(G60)*2+IF(F60="",0,MIN(F60/100,15)))</f>
        <v/>
      </c>
      <c r="O60" s="20" t="n"/>
    </row>
    <row r="61">
      <c r="A61" s="18">
        <f>IF(D61="","",ROW()-4)</f>
        <v/>
      </c>
      <c r="B61" s="19" t="n"/>
      <c r="C61" s="19" t="n"/>
      <c r="D61" s="20" t="n"/>
      <c r="E61" s="20" t="n"/>
      <c r="F61" s="21" t="n"/>
      <c r="G61" s="19" t="n"/>
      <c r="H61" s="19" t="n"/>
      <c r="I61" s="22" t="n"/>
      <c r="J61" s="19" t="n"/>
      <c r="K61" s="22" t="n"/>
      <c r="L61" s="23">
        <f>IF(COUNT(I61,K61)=0,"",MIN(I61,K61))</f>
        <v/>
      </c>
      <c r="M61" s="24">
        <f>IF(L61="","",L61-TODAY())</f>
        <v/>
      </c>
      <c r="N61" s="25">
        <f>IF(D61="","",IF(B61="最高",30,IF(B61="良い",20,IF(B61="滑り止め",10,0)))+N(G61)*2+IF(F61="",0,MIN(F61/100,15)))</f>
        <v/>
      </c>
      <c r="O61" s="20" t="n"/>
    </row>
    <row r="62">
      <c r="A62" s="18">
        <f>IF(D62="","",ROW()-4)</f>
        <v/>
      </c>
      <c r="B62" s="19" t="n"/>
      <c r="C62" s="19" t="n"/>
      <c r="D62" s="20" t="n"/>
      <c r="E62" s="20" t="n"/>
      <c r="F62" s="21" t="n"/>
      <c r="G62" s="19" t="n"/>
      <c r="H62" s="19" t="n"/>
      <c r="I62" s="22" t="n"/>
      <c r="J62" s="19" t="n"/>
      <c r="K62" s="22" t="n"/>
      <c r="L62" s="23">
        <f>IF(COUNT(I62,K62)=0,"",MIN(I62,K62))</f>
        <v/>
      </c>
      <c r="M62" s="24">
        <f>IF(L62="","",L62-TODAY())</f>
        <v/>
      </c>
      <c r="N62" s="25">
        <f>IF(D62="","",IF(B62="最高",30,IF(B62="良い",20,IF(B62="滑り止め",10,0)))+N(G62)*2+IF(F62="",0,MIN(F62/100,15)))</f>
        <v/>
      </c>
      <c r="O62" s="20" t="n"/>
    </row>
    <row r="63">
      <c r="A63" s="18">
        <f>IF(D63="","",ROW()-4)</f>
        <v/>
      </c>
      <c r="B63" s="19" t="n"/>
      <c r="C63" s="19" t="n"/>
      <c r="D63" s="20" t="n"/>
      <c r="E63" s="20" t="n"/>
      <c r="F63" s="21" t="n"/>
      <c r="G63" s="19" t="n"/>
      <c r="H63" s="19" t="n"/>
      <c r="I63" s="22" t="n"/>
      <c r="J63" s="19" t="n"/>
      <c r="K63" s="22" t="n"/>
      <c r="L63" s="23">
        <f>IF(COUNT(I63,K63)=0,"",MIN(I63,K63))</f>
        <v/>
      </c>
      <c r="M63" s="24">
        <f>IF(L63="","",L63-TODAY())</f>
        <v/>
      </c>
      <c r="N63" s="25">
        <f>IF(D63="","",IF(B63="最高",30,IF(B63="良い",20,IF(B63="滑り止め",10,0)))+N(G63)*2+IF(F63="",0,MIN(F63/100,15)))</f>
        <v/>
      </c>
      <c r="O63" s="20" t="n"/>
    </row>
    <row r="64">
      <c r="A64" s="18">
        <f>IF(D64="","",ROW()-4)</f>
        <v/>
      </c>
      <c r="B64" s="19" t="n"/>
      <c r="C64" s="19" t="n"/>
      <c r="D64" s="20" t="n"/>
      <c r="E64" s="20" t="n"/>
      <c r="F64" s="21" t="n"/>
      <c r="G64" s="19" t="n"/>
      <c r="H64" s="19" t="n"/>
      <c r="I64" s="22" t="n"/>
      <c r="J64" s="19" t="n"/>
      <c r="K64" s="22" t="n"/>
      <c r="L64" s="23">
        <f>IF(COUNT(I64,K64)=0,"",MIN(I64,K64))</f>
        <v/>
      </c>
      <c r="M64" s="24">
        <f>IF(L64="","",L64-TODAY())</f>
        <v/>
      </c>
      <c r="N64" s="25">
        <f>IF(D64="","",IF(B64="最高",30,IF(B64="良い",20,IF(B64="滑り止め",10,0)))+N(G64)*2+IF(F64="",0,MIN(F64/100,15)))</f>
        <v/>
      </c>
      <c r="O64" s="20" t="n"/>
    </row>
    <row r="65">
      <c r="A65" s="18">
        <f>IF(D65="","",ROW()-4)</f>
        <v/>
      </c>
      <c r="B65" s="19" t="n"/>
      <c r="C65" s="19" t="n"/>
      <c r="D65" s="20" t="n"/>
      <c r="E65" s="20" t="n"/>
      <c r="F65" s="21" t="n"/>
      <c r="G65" s="19" t="n"/>
      <c r="H65" s="19" t="n"/>
      <c r="I65" s="22" t="n"/>
      <c r="J65" s="19" t="n"/>
      <c r="K65" s="22" t="n"/>
      <c r="L65" s="23">
        <f>IF(COUNT(I65,K65)=0,"",MIN(I65,K65))</f>
        <v/>
      </c>
      <c r="M65" s="24">
        <f>IF(L65="","",L65-TODAY())</f>
        <v/>
      </c>
      <c r="N65" s="25">
        <f>IF(D65="","",IF(B65="最高",30,IF(B65="良い",20,IF(B65="滑り止め",10,0)))+N(G65)*2+IF(F65="",0,MIN(F65/100,15)))</f>
        <v/>
      </c>
      <c r="O65" s="20" t="n"/>
    </row>
    <row r="66">
      <c r="A66" s="18">
        <f>IF(D66="","",ROW()-4)</f>
        <v/>
      </c>
      <c r="B66" s="19" t="n"/>
      <c r="C66" s="19" t="n"/>
      <c r="D66" s="20" t="n"/>
      <c r="E66" s="20" t="n"/>
      <c r="F66" s="21" t="n"/>
      <c r="G66" s="19" t="n"/>
      <c r="H66" s="19" t="n"/>
      <c r="I66" s="22" t="n"/>
      <c r="J66" s="19" t="n"/>
      <c r="K66" s="22" t="n"/>
      <c r="L66" s="23">
        <f>IF(COUNT(I66,K66)=0,"",MIN(I66,K66))</f>
        <v/>
      </c>
      <c r="M66" s="24">
        <f>IF(L66="","",L66-TODAY())</f>
        <v/>
      </c>
      <c r="N66" s="25">
        <f>IF(D66="","",IF(B66="最高",30,IF(B66="良い",20,IF(B66="滑り止め",10,0)))+N(G66)*2+IF(F66="",0,MIN(F66/100,15)))</f>
        <v/>
      </c>
      <c r="O66" s="20" t="n"/>
    </row>
    <row r="67">
      <c r="A67" s="18">
        <f>IF(D67="","",ROW()-4)</f>
        <v/>
      </c>
      <c r="B67" s="19" t="n"/>
      <c r="C67" s="19" t="n"/>
      <c r="D67" s="20" t="n"/>
      <c r="E67" s="20" t="n"/>
      <c r="F67" s="21" t="n"/>
      <c r="G67" s="19" t="n"/>
      <c r="H67" s="19" t="n"/>
      <c r="I67" s="22" t="n"/>
      <c r="J67" s="19" t="n"/>
      <c r="K67" s="22" t="n"/>
      <c r="L67" s="23">
        <f>IF(COUNT(I67,K67)=0,"",MIN(I67,K67))</f>
        <v/>
      </c>
      <c r="M67" s="24">
        <f>IF(L67="","",L67-TODAY())</f>
        <v/>
      </c>
      <c r="N67" s="25">
        <f>IF(D67="","",IF(B67="最高",30,IF(B67="良い",20,IF(B67="滑り止め",10,0)))+N(G67)*2+IF(F67="",0,MIN(F67/100,15)))</f>
        <v/>
      </c>
      <c r="O67" s="20" t="n"/>
    </row>
    <row r="68">
      <c r="A68" s="18">
        <f>IF(D68="","",ROW()-4)</f>
        <v/>
      </c>
      <c r="B68" s="19" t="n"/>
      <c r="C68" s="19" t="n"/>
      <c r="D68" s="20" t="n"/>
      <c r="E68" s="20" t="n"/>
      <c r="F68" s="21" t="n"/>
      <c r="G68" s="19" t="n"/>
      <c r="H68" s="19" t="n"/>
      <c r="I68" s="22" t="n"/>
      <c r="J68" s="19" t="n"/>
      <c r="K68" s="22" t="n"/>
      <c r="L68" s="23">
        <f>IF(COUNT(I68,K68)=0,"",MIN(I68,K68))</f>
        <v/>
      </c>
      <c r="M68" s="24">
        <f>IF(L68="","",L68-TODAY())</f>
        <v/>
      </c>
      <c r="N68" s="25">
        <f>IF(D68="","",IF(B68="最高",30,IF(B68="良い",20,IF(B68="滑り止め",10,0)))+N(G68)*2+IF(F68="",0,MIN(F68/100,15)))</f>
        <v/>
      </c>
      <c r="O68" s="20" t="n"/>
    </row>
    <row r="69">
      <c r="A69" s="18">
        <f>IF(D69="","",ROW()-4)</f>
        <v/>
      </c>
      <c r="B69" s="19" t="n"/>
      <c r="C69" s="19" t="n"/>
      <c r="D69" s="20" t="n"/>
      <c r="E69" s="20" t="n"/>
      <c r="F69" s="21" t="n"/>
      <c r="G69" s="19" t="n"/>
      <c r="H69" s="19" t="n"/>
      <c r="I69" s="22" t="n"/>
      <c r="J69" s="19" t="n"/>
      <c r="K69" s="22" t="n"/>
      <c r="L69" s="23">
        <f>IF(COUNT(I69,K69)=0,"",MIN(I69,K69))</f>
        <v/>
      </c>
      <c r="M69" s="24">
        <f>IF(L69="","",L69-TODAY())</f>
        <v/>
      </c>
      <c r="N69" s="25">
        <f>IF(D69="","",IF(B69="最高",30,IF(B69="良い",20,IF(B69="滑り止め",10,0)))+N(G69)*2+IF(F69="",0,MIN(F69/100,15)))</f>
        <v/>
      </c>
      <c r="O69" s="20" t="n"/>
    </row>
    <row r="70">
      <c r="A70" s="18">
        <f>IF(D70="","",ROW()-4)</f>
        <v/>
      </c>
      <c r="B70" s="19" t="n"/>
      <c r="C70" s="19" t="n"/>
      <c r="D70" s="20" t="n"/>
      <c r="E70" s="20" t="n"/>
      <c r="F70" s="21" t="n"/>
      <c r="G70" s="19" t="n"/>
      <c r="H70" s="19" t="n"/>
      <c r="I70" s="22" t="n"/>
      <c r="J70" s="19" t="n"/>
      <c r="K70" s="22" t="n"/>
      <c r="L70" s="23">
        <f>IF(COUNT(I70,K70)=0,"",MIN(I70,K70))</f>
        <v/>
      </c>
      <c r="M70" s="24">
        <f>IF(L70="","",L70-TODAY())</f>
        <v/>
      </c>
      <c r="N70" s="25">
        <f>IF(D70="","",IF(B70="最高",30,IF(B70="良い",20,IF(B70="滑り止め",10,0)))+N(G70)*2+IF(F70="",0,MIN(F70/100,15)))</f>
        <v/>
      </c>
      <c r="O70" s="20" t="n"/>
    </row>
    <row r="71">
      <c r="A71" s="18">
        <f>IF(D71="","",ROW()-4)</f>
        <v/>
      </c>
      <c r="B71" s="19" t="n"/>
      <c r="C71" s="19" t="n"/>
      <c r="D71" s="20" t="n"/>
      <c r="E71" s="20" t="n"/>
      <c r="F71" s="21" t="n"/>
      <c r="G71" s="19" t="n"/>
      <c r="H71" s="19" t="n"/>
      <c r="I71" s="22" t="n"/>
      <c r="J71" s="19" t="n"/>
      <c r="K71" s="22" t="n"/>
      <c r="L71" s="23">
        <f>IF(COUNT(I71,K71)=0,"",MIN(I71,K71))</f>
        <v/>
      </c>
      <c r="M71" s="24">
        <f>IF(L71="","",L71-TODAY())</f>
        <v/>
      </c>
      <c r="N71" s="25">
        <f>IF(D71="","",IF(B71="最高",30,IF(B71="良い",20,IF(B71="滑り止め",10,0)))+N(G71)*2+IF(F71="",0,MIN(F71/100,15)))</f>
        <v/>
      </c>
      <c r="O71" s="20" t="n"/>
    </row>
    <row r="72">
      <c r="A72" s="18">
        <f>IF(D72="","",ROW()-4)</f>
        <v/>
      </c>
      <c r="B72" s="19" t="n"/>
      <c r="C72" s="19" t="n"/>
      <c r="D72" s="20" t="n"/>
      <c r="E72" s="20" t="n"/>
      <c r="F72" s="21" t="n"/>
      <c r="G72" s="19" t="n"/>
      <c r="H72" s="19" t="n"/>
      <c r="I72" s="22" t="n"/>
      <c r="J72" s="19" t="n"/>
      <c r="K72" s="22" t="n"/>
      <c r="L72" s="23">
        <f>IF(COUNT(I72,K72)=0,"",MIN(I72,K72))</f>
        <v/>
      </c>
      <c r="M72" s="24">
        <f>IF(L72="","",L72-TODAY())</f>
        <v/>
      </c>
      <c r="N72" s="25">
        <f>IF(D72="","",IF(B72="最高",30,IF(B72="良い",20,IF(B72="滑り止め",10,0)))+N(G72)*2+IF(F72="",0,MIN(F72/100,15)))</f>
        <v/>
      </c>
      <c r="O72" s="20" t="n"/>
    </row>
    <row r="73">
      <c r="A73" s="18">
        <f>IF(D73="","",ROW()-4)</f>
        <v/>
      </c>
      <c r="B73" s="19" t="n"/>
      <c r="C73" s="19" t="n"/>
      <c r="D73" s="20" t="n"/>
      <c r="E73" s="20" t="n"/>
      <c r="F73" s="21" t="n"/>
      <c r="G73" s="19" t="n"/>
      <c r="H73" s="19" t="n"/>
      <c r="I73" s="22" t="n"/>
      <c r="J73" s="19" t="n"/>
      <c r="K73" s="22" t="n"/>
      <c r="L73" s="23">
        <f>IF(COUNT(I73,K73)=0,"",MIN(I73,K73))</f>
        <v/>
      </c>
      <c r="M73" s="24">
        <f>IF(L73="","",L73-TODAY())</f>
        <v/>
      </c>
      <c r="N73" s="25">
        <f>IF(D73="","",IF(B73="最高",30,IF(B73="良い",20,IF(B73="滑り止め",10,0)))+N(G73)*2+IF(F73="",0,MIN(F73/100,15)))</f>
        <v/>
      </c>
      <c r="O73" s="20" t="n"/>
    </row>
    <row r="74">
      <c r="A74" s="18">
        <f>IF(D74="","",ROW()-4)</f>
        <v/>
      </c>
      <c r="B74" s="19" t="n"/>
      <c r="C74" s="19" t="n"/>
      <c r="D74" s="20" t="n"/>
      <c r="E74" s="20" t="n"/>
      <c r="F74" s="21" t="n"/>
      <c r="G74" s="19" t="n"/>
      <c r="H74" s="19" t="n"/>
      <c r="I74" s="22" t="n"/>
      <c r="J74" s="19" t="n"/>
      <c r="K74" s="22" t="n"/>
      <c r="L74" s="23">
        <f>IF(COUNT(I74,K74)=0,"",MIN(I74,K74))</f>
        <v/>
      </c>
      <c r="M74" s="24">
        <f>IF(L74="","",L74-TODAY())</f>
        <v/>
      </c>
      <c r="N74" s="25">
        <f>IF(D74="","",IF(B74="最高",30,IF(B74="良い",20,IF(B74="滑り止め",10,0)))+N(G74)*2+IF(F74="",0,MIN(F74/100,15)))</f>
        <v/>
      </c>
      <c r="O74" s="20" t="n"/>
    </row>
    <row r="75">
      <c r="A75" s="18">
        <f>IF(D75="","",ROW()-4)</f>
        <v/>
      </c>
      <c r="B75" s="19" t="n"/>
      <c r="C75" s="19" t="n"/>
      <c r="D75" s="20" t="n"/>
      <c r="E75" s="20" t="n"/>
      <c r="F75" s="21" t="n"/>
      <c r="G75" s="19" t="n"/>
      <c r="H75" s="19" t="n"/>
      <c r="I75" s="22" t="n"/>
      <c r="J75" s="19" t="n"/>
      <c r="K75" s="22" t="n"/>
      <c r="L75" s="23">
        <f>IF(COUNT(I75,K75)=0,"",MIN(I75,K75))</f>
        <v/>
      </c>
      <c r="M75" s="24">
        <f>IF(L75="","",L75-TODAY())</f>
        <v/>
      </c>
      <c r="N75" s="25">
        <f>IF(D75="","",IF(B75="最高",30,IF(B75="良い",20,IF(B75="滑り止め",10,0)))+N(G75)*2+IF(F75="",0,MIN(F75/100,15)))</f>
        <v/>
      </c>
      <c r="O75" s="20" t="n"/>
    </row>
    <row r="76">
      <c r="A76" s="18">
        <f>IF(D76="","",ROW()-4)</f>
        <v/>
      </c>
      <c r="B76" s="19" t="n"/>
      <c r="C76" s="19" t="n"/>
      <c r="D76" s="20" t="n"/>
      <c r="E76" s="20" t="n"/>
      <c r="F76" s="21" t="n"/>
      <c r="G76" s="19" t="n"/>
      <c r="H76" s="19" t="n"/>
      <c r="I76" s="22" t="n"/>
      <c r="J76" s="19" t="n"/>
      <c r="K76" s="22" t="n"/>
      <c r="L76" s="23">
        <f>IF(COUNT(I76,K76)=0,"",MIN(I76,K76))</f>
        <v/>
      </c>
      <c r="M76" s="24">
        <f>IF(L76="","",L76-TODAY())</f>
        <v/>
      </c>
      <c r="N76" s="25">
        <f>IF(D76="","",IF(B76="最高",30,IF(B76="良い",20,IF(B76="滑り止め",10,0)))+N(G76)*2+IF(F76="",0,MIN(F76/100,15)))</f>
        <v/>
      </c>
      <c r="O76" s="20" t="n"/>
    </row>
    <row r="77">
      <c r="A77" s="18">
        <f>IF(D77="","",ROW()-4)</f>
        <v/>
      </c>
      <c r="B77" s="19" t="n"/>
      <c r="C77" s="19" t="n"/>
      <c r="D77" s="20" t="n"/>
      <c r="E77" s="20" t="n"/>
      <c r="F77" s="21" t="n"/>
      <c r="G77" s="19" t="n"/>
      <c r="H77" s="19" t="n"/>
      <c r="I77" s="22" t="n"/>
      <c r="J77" s="19" t="n"/>
      <c r="K77" s="22" t="n"/>
      <c r="L77" s="23">
        <f>IF(COUNT(I77,K77)=0,"",MIN(I77,K77))</f>
        <v/>
      </c>
      <c r="M77" s="24">
        <f>IF(L77="","",L77-TODAY())</f>
        <v/>
      </c>
      <c r="N77" s="25">
        <f>IF(D77="","",IF(B77="最高",30,IF(B77="良い",20,IF(B77="滑り止め",10,0)))+N(G77)*2+IF(F77="",0,MIN(F77/100,15)))</f>
        <v/>
      </c>
      <c r="O77" s="20" t="n"/>
    </row>
    <row r="78">
      <c r="A78" s="18">
        <f>IF(D78="","",ROW()-4)</f>
        <v/>
      </c>
      <c r="B78" s="19" t="n"/>
      <c r="C78" s="19" t="n"/>
      <c r="D78" s="20" t="n"/>
      <c r="E78" s="20" t="n"/>
      <c r="F78" s="21" t="n"/>
      <c r="G78" s="19" t="n"/>
      <c r="H78" s="19" t="n"/>
      <c r="I78" s="22" t="n"/>
      <c r="J78" s="19" t="n"/>
      <c r="K78" s="22" t="n"/>
      <c r="L78" s="23">
        <f>IF(COUNT(I78,K78)=0,"",MIN(I78,K78))</f>
        <v/>
      </c>
      <c r="M78" s="24">
        <f>IF(L78="","",L78-TODAY())</f>
        <v/>
      </c>
      <c r="N78" s="25">
        <f>IF(D78="","",IF(B78="最高",30,IF(B78="良い",20,IF(B78="滑り止め",10,0)))+N(G78)*2+IF(F78="",0,MIN(F78/100,15)))</f>
        <v/>
      </c>
      <c r="O78" s="20" t="n"/>
    </row>
    <row r="79">
      <c r="A79" s="18">
        <f>IF(D79="","",ROW()-4)</f>
        <v/>
      </c>
      <c r="B79" s="19" t="n"/>
      <c r="C79" s="19" t="n"/>
      <c r="D79" s="20" t="n"/>
      <c r="E79" s="20" t="n"/>
      <c r="F79" s="21" t="n"/>
      <c r="G79" s="19" t="n"/>
      <c r="H79" s="19" t="n"/>
      <c r="I79" s="22" t="n"/>
      <c r="J79" s="19" t="n"/>
      <c r="K79" s="22" t="n"/>
      <c r="L79" s="23">
        <f>IF(COUNT(I79,K79)=0,"",MIN(I79,K79))</f>
        <v/>
      </c>
      <c r="M79" s="24">
        <f>IF(L79="","",L79-TODAY())</f>
        <v/>
      </c>
      <c r="N79" s="25">
        <f>IF(D79="","",IF(B79="最高",30,IF(B79="良い",20,IF(B79="滑り止め",10,0)))+N(G79)*2+IF(F79="",0,MIN(F79/100,15)))</f>
        <v/>
      </c>
      <c r="O79" s="20" t="n"/>
    </row>
    <row r="80">
      <c r="A80" s="18">
        <f>IF(D80="","",ROW()-4)</f>
        <v/>
      </c>
      <c r="B80" s="19" t="n"/>
      <c r="C80" s="19" t="n"/>
      <c r="D80" s="20" t="n"/>
      <c r="E80" s="20" t="n"/>
      <c r="F80" s="21" t="n"/>
      <c r="G80" s="19" t="n"/>
      <c r="H80" s="19" t="n"/>
      <c r="I80" s="22" t="n"/>
      <c r="J80" s="19" t="n"/>
      <c r="K80" s="22" t="n"/>
      <c r="L80" s="23">
        <f>IF(COUNT(I80,K80)=0,"",MIN(I80,K80))</f>
        <v/>
      </c>
      <c r="M80" s="24">
        <f>IF(L80="","",L80-TODAY())</f>
        <v/>
      </c>
      <c r="N80" s="25">
        <f>IF(D80="","",IF(B80="最高",30,IF(B80="良い",20,IF(B80="滑り止め",10,0)))+N(G80)*2+IF(F80="",0,MIN(F80/100,15)))</f>
        <v/>
      </c>
      <c r="O80" s="20" t="n"/>
    </row>
    <row r="81">
      <c r="A81" s="18">
        <f>IF(D81="","",ROW()-4)</f>
        <v/>
      </c>
      <c r="B81" s="19" t="n"/>
      <c r="C81" s="19" t="n"/>
      <c r="D81" s="20" t="n"/>
      <c r="E81" s="20" t="n"/>
      <c r="F81" s="21" t="n"/>
      <c r="G81" s="19" t="n"/>
      <c r="H81" s="19" t="n"/>
      <c r="I81" s="22" t="n"/>
      <c r="J81" s="19" t="n"/>
      <c r="K81" s="22" t="n"/>
      <c r="L81" s="23">
        <f>IF(COUNT(I81,K81)=0,"",MIN(I81,K81))</f>
        <v/>
      </c>
      <c r="M81" s="24">
        <f>IF(L81="","",L81-TODAY())</f>
        <v/>
      </c>
      <c r="N81" s="25">
        <f>IF(D81="","",IF(B81="最高",30,IF(B81="良い",20,IF(B81="滑り止め",10,0)))+N(G81)*2+IF(F81="",0,MIN(F81/100,15)))</f>
        <v/>
      </c>
      <c r="O81" s="20" t="n"/>
    </row>
    <row r="82">
      <c r="A82" s="18">
        <f>IF(D82="","",ROW()-4)</f>
        <v/>
      </c>
      <c r="B82" s="19" t="n"/>
      <c r="C82" s="19" t="n"/>
      <c r="D82" s="20" t="n"/>
      <c r="E82" s="20" t="n"/>
      <c r="F82" s="21" t="n"/>
      <c r="G82" s="19" t="n"/>
      <c r="H82" s="19" t="n"/>
      <c r="I82" s="22" t="n"/>
      <c r="J82" s="19" t="n"/>
      <c r="K82" s="22" t="n"/>
      <c r="L82" s="23">
        <f>IF(COUNT(I82,K82)=0,"",MIN(I82,K82))</f>
        <v/>
      </c>
      <c r="M82" s="24">
        <f>IF(L82="","",L82-TODAY())</f>
        <v/>
      </c>
      <c r="N82" s="25">
        <f>IF(D82="","",IF(B82="最高",30,IF(B82="良い",20,IF(B82="滑り止め",10,0)))+N(G82)*2+IF(F82="",0,MIN(F82/100,15)))</f>
        <v/>
      </c>
      <c r="O82" s="20" t="n"/>
    </row>
    <row r="83">
      <c r="A83" s="18">
        <f>IF(D83="","",ROW()-4)</f>
        <v/>
      </c>
      <c r="B83" s="19" t="n"/>
      <c r="C83" s="19" t="n"/>
      <c r="D83" s="20" t="n"/>
      <c r="E83" s="20" t="n"/>
      <c r="F83" s="21" t="n"/>
      <c r="G83" s="19" t="n"/>
      <c r="H83" s="19" t="n"/>
      <c r="I83" s="22" t="n"/>
      <c r="J83" s="19" t="n"/>
      <c r="K83" s="22" t="n"/>
      <c r="L83" s="23">
        <f>IF(COUNT(I83,K83)=0,"",MIN(I83,K83))</f>
        <v/>
      </c>
      <c r="M83" s="24">
        <f>IF(L83="","",L83-TODAY())</f>
        <v/>
      </c>
      <c r="N83" s="25">
        <f>IF(D83="","",IF(B83="最高",30,IF(B83="良い",20,IF(B83="滑り止め",10,0)))+N(G83)*2+IF(F83="",0,MIN(F83/100,15)))</f>
        <v/>
      </c>
      <c r="O83" s="20" t="n"/>
    </row>
    <row r="84">
      <c r="A84" s="18">
        <f>IF(D84="","",ROW()-4)</f>
        <v/>
      </c>
      <c r="B84" s="19" t="n"/>
      <c r="C84" s="19" t="n"/>
      <c r="D84" s="20" t="n"/>
      <c r="E84" s="20" t="n"/>
      <c r="F84" s="21" t="n"/>
      <c r="G84" s="19" t="n"/>
      <c r="H84" s="19" t="n"/>
      <c r="I84" s="22" t="n"/>
      <c r="J84" s="19" t="n"/>
      <c r="K84" s="22" t="n"/>
      <c r="L84" s="23">
        <f>IF(COUNT(I84,K84)=0,"",MIN(I84,K84))</f>
        <v/>
      </c>
      <c r="M84" s="24">
        <f>IF(L84="","",L84-TODAY())</f>
        <v/>
      </c>
      <c r="N84" s="25">
        <f>IF(D84="","",IF(B84="最高",30,IF(B84="良い",20,IF(B84="滑り止め",10,0)))+N(G84)*2+IF(F84="",0,MIN(F84/100,15)))</f>
        <v/>
      </c>
      <c r="O84" s="20" t="n"/>
    </row>
    <row r="85">
      <c r="A85" s="18">
        <f>IF(D85="","",ROW()-4)</f>
        <v/>
      </c>
      <c r="B85" s="19" t="n"/>
      <c r="C85" s="19" t="n"/>
      <c r="D85" s="20" t="n"/>
      <c r="E85" s="20" t="n"/>
      <c r="F85" s="21" t="n"/>
      <c r="G85" s="19" t="n"/>
      <c r="H85" s="19" t="n"/>
      <c r="I85" s="22" t="n"/>
      <c r="J85" s="19" t="n"/>
      <c r="K85" s="22" t="n"/>
      <c r="L85" s="23">
        <f>IF(COUNT(I85,K85)=0,"",MIN(I85,K85))</f>
        <v/>
      </c>
      <c r="M85" s="24">
        <f>IF(L85="","",L85-TODAY())</f>
        <v/>
      </c>
      <c r="N85" s="25">
        <f>IF(D85="","",IF(B85="最高",30,IF(B85="良い",20,IF(B85="滑り止め",10,0)))+N(G85)*2+IF(F85="",0,MIN(F85/100,15)))</f>
        <v/>
      </c>
      <c r="O85" s="20" t="n"/>
    </row>
    <row r="86">
      <c r="A86" s="18">
        <f>IF(D86="","",ROW()-4)</f>
        <v/>
      </c>
      <c r="B86" s="19" t="n"/>
      <c r="C86" s="19" t="n"/>
      <c r="D86" s="20" t="n"/>
      <c r="E86" s="20" t="n"/>
      <c r="F86" s="21" t="n"/>
      <c r="G86" s="19" t="n"/>
      <c r="H86" s="19" t="n"/>
      <c r="I86" s="22" t="n"/>
      <c r="J86" s="19" t="n"/>
      <c r="K86" s="22" t="n"/>
      <c r="L86" s="23">
        <f>IF(COUNT(I86,K86)=0,"",MIN(I86,K86))</f>
        <v/>
      </c>
      <c r="M86" s="24">
        <f>IF(L86="","",L86-TODAY())</f>
        <v/>
      </c>
      <c r="N86" s="25">
        <f>IF(D86="","",IF(B86="最高",30,IF(B86="良い",20,IF(B86="滑り止め",10,0)))+N(G86)*2+IF(F86="",0,MIN(F86/100,15)))</f>
        <v/>
      </c>
      <c r="O86" s="20" t="n"/>
    </row>
    <row r="87">
      <c r="A87" s="18">
        <f>IF(D87="","",ROW()-4)</f>
        <v/>
      </c>
      <c r="B87" s="19" t="n"/>
      <c r="C87" s="19" t="n"/>
      <c r="D87" s="20" t="n"/>
      <c r="E87" s="20" t="n"/>
      <c r="F87" s="21" t="n"/>
      <c r="G87" s="19" t="n"/>
      <c r="H87" s="19" t="n"/>
      <c r="I87" s="22" t="n"/>
      <c r="J87" s="19" t="n"/>
      <c r="K87" s="22" t="n"/>
      <c r="L87" s="23">
        <f>IF(COUNT(I87,K87)=0,"",MIN(I87,K87))</f>
        <v/>
      </c>
      <c r="M87" s="24">
        <f>IF(L87="","",L87-TODAY())</f>
        <v/>
      </c>
      <c r="N87" s="25">
        <f>IF(D87="","",IF(B87="最高",30,IF(B87="良い",20,IF(B87="滑り止め",10,0)))+N(G87)*2+IF(F87="",0,MIN(F87/100,15)))</f>
        <v/>
      </c>
      <c r="O87" s="20" t="n"/>
    </row>
    <row r="88">
      <c r="A88" s="18">
        <f>IF(D88="","",ROW()-4)</f>
        <v/>
      </c>
      <c r="B88" s="19" t="n"/>
      <c r="C88" s="19" t="n"/>
      <c r="D88" s="20" t="n"/>
      <c r="E88" s="20" t="n"/>
      <c r="F88" s="21" t="n"/>
      <c r="G88" s="19" t="n"/>
      <c r="H88" s="19" t="n"/>
      <c r="I88" s="22" t="n"/>
      <c r="J88" s="19" t="n"/>
      <c r="K88" s="22" t="n"/>
      <c r="L88" s="23">
        <f>IF(COUNT(I88,K88)=0,"",MIN(I88,K88))</f>
        <v/>
      </c>
      <c r="M88" s="24">
        <f>IF(L88="","",L88-TODAY())</f>
        <v/>
      </c>
      <c r="N88" s="25">
        <f>IF(D88="","",IF(B88="最高",30,IF(B88="良い",20,IF(B88="滑り止め",10,0)))+N(G88)*2+IF(F88="",0,MIN(F88/100,15)))</f>
        <v/>
      </c>
      <c r="O88" s="20" t="n"/>
    </row>
    <row r="89">
      <c r="A89" s="18">
        <f>IF(D89="","",ROW()-4)</f>
        <v/>
      </c>
      <c r="B89" s="19" t="n"/>
      <c r="C89" s="19" t="n"/>
      <c r="D89" s="20" t="n"/>
      <c r="E89" s="20" t="n"/>
      <c r="F89" s="21" t="n"/>
      <c r="G89" s="19" t="n"/>
      <c r="H89" s="19" t="n"/>
      <c r="I89" s="22" t="n"/>
      <c r="J89" s="19" t="n"/>
      <c r="K89" s="22" t="n"/>
      <c r="L89" s="23">
        <f>IF(COUNT(I89,K89)=0,"",MIN(I89,K89))</f>
        <v/>
      </c>
      <c r="M89" s="24">
        <f>IF(L89="","",L89-TODAY())</f>
        <v/>
      </c>
      <c r="N89" s="25">
        <f>IF(D89="","",IF(B89="最高",30,IF(B89="良い",20,IF(B89="滑り止め",10,0)))+N(G89)*2+IF(F89="",0,MIN(F89/100,15)))</f>
        <v/>
      </c>
      <c r="O89" s="20" t="n"/>
    </row>
    <row r="90">
      <c r="A90" s="18">
        <f>IF(D90="","",ROW()-4)</f>
        <v/>
      </c>
      <c r="B90" s="19" t="n"/>
      <c r="C90" s="19" t="n"/>
      <c r="D90" s="20" t="n"/>
      <c r="E90" s="20" t="n"/>
      <c r="F90" s="21" t="n"/>
      <c r="G90" s="19" t="n"/>
      <c r="H90" s="19" t="n"/>
      <c r="I90" s="22" t="n"/>
      <c r="J90" s="19" t="n"/>
      <c r="K90" s="22" t="n"/>
      <c r="L90" s="23">
        <f>IF(COUNT(I90,K90)=0,"",MIN(I90,K90))</f>
        <v/>
      </c>
      <c r="M90" s="24">
        <f>IF(L90="","",L90-TODAY())</f>
        <v/>
      </c>
      <c r="N90" s="25">
        <f>IF(D90="","",IF(B90="最高",30,IF(B90="良い",20,IF(B90="滑り止め",10,0)))+N(G90)*2+IF(F90="",0,MIN(F90/100,15)))</f>
        <v/>
      </c>
      <c r="O90" s="20" t="n"/>
    </row>
    <row r="91">
      <c r="A91" s="18">
        <f>IF(D91="","",ROW()-4)</f>
        <v/>
      </c>
      <c r="B91" s="19" t="n"/>
      <c r="C91" s="19" t="n"/>
      <c r="D91" s="20" t="n"/>
      <c r="E91" s="20" t="n"/>
      <c r="F91" s="21" t="n"/>
      <c r="G91" s="19" t="n"/>
      <c r="H91" s="19" t="n"/>
      <c r="I91" s="22" t="n"/>
      <c r="J91" s="19" t="n"/>
      <c r="K91" s="22" t="n"/>
      <c r="L91" s="23">
        <f>IF(COUNT(I91,K91)=0,"",MIN(I91,K91))</f>
        <v/>
      </c>
      <c r="M91" s="24">
        <f>IF(L91="","",L91-TODAY())</f>
        <v/>
      </c>
      <c r="N91" s="25">
        <f>IF(D91="","",IF(B91="最高",30,IF(B91="良い",20,IF(B91="滑り止め",10,0)))+N(G91)*2+IF(F91="",0,MIN(F91/100,15)))</f>
        <v/>
      </c>
      <c r="O91" s="20" t="n"/>
    </row>
    <row r="92">
      <c r="A92" s="18">
        <f>IF(D92="","",ROW()-4)</f>
        <v/>
      </c>
      <c r="B92" s="19" t="n"/>
      <c r="C92" s="19" t="n"/>
      <c r="D92" s="20" t="n"/>
      <c r="E92" s="20" t="n"/>
      <c r="F92" s="21" t="n"/>
      <c r="G92" s="19" t="n"/>
      <c r="H92" s="19" t="n"/>
      <c r="I92" s="22" t="n"/>
      <c r="J92" s="19" t="n"/>
      <c r="K92" s="22" t="n"/>
      <c r="L92" s="23">
        <f>IF(COUNT(I92,K92)=0,"",MIN(I92,K92))</f>
        <v/>
      </c>
      <c r="M92" s="24">
        <f>IF(L92="","",L92-TODAY())</f>
        <v/>
      </c>
      <c r="N92" s="25">
        <f>IF(D92="","",IF(B92="最高",30,IF(B92="良い",20,IF(B92="滑り止め",10,0)))+N(G92)*2+IF(F92="",0,MIN(F92/100,15)))</f>
        <v/>
      </c>
      <c r="O92" s="20" t="n"/>
    </row>
    <row r="93">
      <c r="A93" s="18">
        <f>IF(D93="","",ROW()-4)</f>
        <v/>
      </c>
      <c r="B93" s="19" t="n"/>
      <c r="C93" s="19" t="n"/>
      <c r="D93" s="20" t="n"/>
      <c r="E93" s="20" t="n"/>
      <c r="F93" s="21" t="n"/>
      <c r="G93" s="19" t="n"/>
      <c r="H93" s="19" t="n"/>
      <c r="I93" s="22" t="n"/>
      <c r="J93" s="19" t="n"/>
      <c r="K93" s="22" t="n"/>
      <c r="L93" s="23">
        <f>IF(COUNT(I93,K93)=0,"",MIN(I93,K93))</f>
        <v/>
      </c>
      <c r="M93" s="24">
        <f>IF(L93="","",L93-TODAY())</f>
        <v/>
      </c>
      <c r="N93" s="25">
        <f>IF(D93="","",IF(B93="最高",30,IF(B93="良い",20,IF(B93="滑り止め",10,0)))+N(G93)*2+IF(F93="",0,MIN(F93/100,15)))</f>
        <v/>
      </c>
      <c r="O93" s="20" t="n"/>
    </row>
    <row r="94">
      <c r="A94" s="18">
        <f>IF(D94="","",ROW()-4)</f>
        <v/>
      </c>
      <c r="B94" s="19" t="n"/>
      <c r="C94" s="19" t="n"/>
      <c r="D94" s="20" t="n"/>
      <c r="E94" s="20" t="n"/>
      <c r="F94" s="21" t="n"/>
      <c r="G94" s="19" t="n"/>
      <c r="H94" s="19" t="n"/>
      <c r="I94" s="22" t="n"/>
      <c r="J94" s="19" t="n"/>
      <c r="K94" s="22" t="n"/>
      <c r="L94" s="23">
        <f>IF(COUNT(I94,K94)=0,"",MIN(I94,K94))</f>
        <v/>
      </c>
      <c r="M94" s="24">
        <f>IF(L94="","",L94-TODAY())</f>
        <v/>
      </c>
      <c r="N94" s="25">
        <f>IF(D94="","",IF(B94="最高",30,IF(B94="良い",20,IF(B94="滑り止め",10,0)))+N(G94)*2+IF(F94="",0,MIN(F94/100,15)))</f>
        <v/>
      </c>
      <c r="O94" s="20" t="n"/>
    </row>
    <row r="95">
      <c r="A95" s="18">
        <f>IF(D95="","",ROW()-4)</f>
        <v/>
      </c>
      <c r="B95" s="19" t="n"/>
      <c r="C95" s="19" t="n"/>
      <c r="D95" s="20" t="n"/>
      <c r="E95" s="20" t="n"/>
      <c r="F95" s="21" t="n"/>
      <c r="G95" s="19" t="n"/>
      <c r="H95" s="19" t="n"/>
      <c r="I95" s="22" t="n"/>
      <c r="J95" s="19" t="n"/>
      <c r="K95" s="22" t="n"/>
      <c r="L95" s="23">
        <f>IF(COUNT(I95,K95)=0,"",MIN(I95,K95))</f>
        <v/>
      </c>
      <c r="M95" s="24">
        <f>IF(L95="","",L95-TODAY())</f>
        <v/>
      </c>
      <c r="N95" s="25">
        <f>IF(D95="","",IF(B95="最高",30,IF(B95="良い",20,IF(B95="滑り止め",10,0)))+N(G95)*2+IF(F95="",0,MIN(F95/100,15)))</f>
        <v/>
      </c>
      <c r="O95" s="20" t="n"/>
    </row>
    <row r="96">
      <c r="A96" s="18">
        <f>IF(D96="","",ROW()-4)</f>
        <v/>
      </c>
      <c r="B96" s="19" t="n"/>
      <c r="C96" s="19" t="n"/>
      <c r="D96" s="20" t="n"/>
      <c r="E96" s="20" t="n"/>
      <c r="F96" s="21" t="n"/>
      <c r="G96" s="19" t="n"/>
      <c r="H96" s="19" t="n"/>
      <c r="I96" s="22" t="n"/>
      <c r="J96" s="19" t="n"/>
      <c r="K96" s="22" t="n"/>
      <c r="L96" s="23">
        <f>IF(COUNT(I96,K96)=0,"",MIN(I96,K96))</f>
        <v/>
      </c>
      <c r="M96" s="24">
        <f>IF(L96="","",L96-TODAY())</f>
        <v/>
      </c>
      <c r="N96" s="25">
        <f>IF(D96="","",IF(B96="最高",30,IF(B96="良い",20,IF(B96="滑り止め",10,0)))+N(G96)*2+IF(F96="",0,MIN(F96/100,15)))</f>
        <v/>
      </c>
      <c r="O96" s="20" t="n"/>
    </row>
    <row r="97">
      <c r="A97" s="18">
        <f>IF(D97="","",ROW()-4)</f>
        <v/>
      </c>
      <c r="B97" s="19" t="n"/>
      <c r="C97" s="19" t="n"/>
      <c r="D97" s="20" t="n"/>
      <c r="E97" s="20" t="n"/>
      <c r="F97" s="21" t="n"/>
      <c r="G97" s="19" t="n"/>
      <c r="H97" s="19" t="n"/>
      <c r="I97" s="22" t="n"/>
      <c r="J97" s="19" t="n"/>
      <c r="K97" s="22" t="n"/>
      <c r="L97" s="23">
        <f>IF(COUNT(I97,K97)=0,"",MIN(I97,K97))</f>
        <v/>
      </c>
      <c r="M97" s="24">
        <f>IF(L97="","",L97-TODAY())</f>
        <v/>
      </c>
      <c r="N97" s="25">
        <f>IF(D97="","",IF(B97="最高",30,IF(B97="良い",20,IF(B97="滑り止め",10,0)))+N(G97)*2+IF(F97="",0,MIN(F97/100,15)))</f>
        <v/>
      </c>
      <c r="O97" s="20" t="n"/>
    </row>
    <row r="98">
      <c r="A98" s="18">
        <f>IF(D98="","",ROW()-4)</f>
        <v/>
      </c>
      <c r="B98" s="19" t="n"/>
      <c r="C98" s="19" t="n"/>
      <c r="D98" s="20" t="n"/>
      <c r="E98" s="20" t="n"/>
      <c r="F98" s="21" t="n"/>
      <c r="G98" s="19" t="n"/>
      <c r="H98" s="19" t="n"/>
      <c r="I98" s="22" t="n"/>
      <c r="J98" s="19" t="n"/>
      <c r="K98" s="22" t="n"/>
      <c r="L98" s="23">
        <f>IF(COUNT(I98,K98)=0,"",MIN(I98,K98))</f>
        <v/>
      </c>
      <c r="M98" s="24">
        <f>IF(L98="","",L98-TODAY())</f>
        <v/>
      </c>
      <c r="N98" s="25">
        <f>IF(D98="","",IF(B98="最高",30,IF(B98="良い",20,IF(B98="滑り止め",10,0)))+N(G98)*2+IF(F98="",0,MIN(F98/100,15)))</f>
        <v/>
      </c>
      <c r="O98" s="20" t="n"/>
    </row>
    <row r="99">
      <c r="A99" s="18">
        <f>IF(D99="","",ROW()-4)</f>
        <v/>
      </c>
      <c r="B99" s="19" t="n"/>
      <c r="C99" s="19" t="n"/>
      <c r="D99" s="20" t="n"/>
      <c r="E99" s="20" t="n"/>
      <c r="F99" s="21" t="n"/>
      <c r="G99" s="19" t="n"/>
      <c r="H99" s="19" t="n"/>
      <c r="I99" s="22" t="n"/>
      <c r="J99" s="19" t="n"/>
      <c r="K99" s="22" t="n"/>
      <c r="L99" s="23">
        <f>IF(COUNT(I99,K99)=0,"",MIN(I99,K99))</f>
        <v/>
      </c>
      <c r="M99" s="24">
        <f>IF(L99="","",L99-TODAY())</f>
        <v/>
      </c>
      <c r="N99" s="25">
        <f>IF(D99="","",IF(B99="最高",30,IF(B99="良い",20,IF(B99="滑り止め",10,0)))+N(G99)*2+IF(F99="",0,MIN(F99/100,15)))</f>
        <v/>
      </c>
      <c r="O99" s="20" t="n"/>
    </row>
    <row r="100">
      <c r="A100" s="18">
        <f>IF(D100="","",ROW()-4)</f>
        <v/>
      </c>
      <c r="B100" s="19" t="n"/>
      <c r="C100" s="19" t="n"/>
      <c r="D100" s="20" t="n"/>
      <c r="E100" s="20" t="n"/>
      <c r="F100" s="21" t="n"/>
      <c r="G100" s="19" t="n"/>
      <c r="H100" s="19" t="n"/>
      <c r="I100" s="22" t="n"/>
      <c r="J100" s="19" t="n"/>
      <c r="K100" s="22" t="n"/>
      <c r="L100" s="23">
        <f>IF(COUNT(I100,K100)=0,"",MIN(I100,K100))</f>
        <v/>
      </c>
      <c r="M100" s="24">
        <f>IF(L100="","",L100-TODAY())</f>
        <v/>
      </c>
      <c r="N100" s="25">
        <f>IF(D100="","",IF(B100="最高",30,IF(B100="良い",20,IF(B100="滑り止め",10,0)))+N(G100)*2+IF(F100="",0,MIN(F100/100,15)))</f>
        <v/>
      </c>
      <c r="O100" s="20" t="n"/>
    </row>
    <row r="101">
      <c r="A101" s="18">
        <f>IF(D101="","",ROW()-4)</f>
        <v/>
      </c>
      <c r="B101" s="19" t="n"/>
      <c r="C101" s="19" t="n"/>
      <c r="D101" s="20" t="n"/>
      <c r="E101" s="20" t="n"/>
      <c r="F101" s="21" t="n"/>
      <c r="G101" s="19" t="n"/>
      <c r="H101" s="19" t="n"/>
      <c r="I101" s="22" t="n"/>
      <c r="J101" s="19" t="n"/>
      <c r="K101" s="22" t="n"/>
      <c r="L101" s="23">
        <f>IF(COUNT(I101,K101)=0,"",MIN(I101,K101))</f>
        <v/>
      </c>
      <c r="M101" s="24">
        <f>IF(L101="","",L101-TODAY())</f>
        <v/>
      </c>
      <c r="N101" s="25">
        <f>IF(D101="","",IF(B101="最高",30,IF(B101="良い",20,IF(B101="滑り止め",10,0)))+N(G101)*2+IF(F101="",0,MIN(F101/100,15)))</f>
        <v/>
      </c>
      <c r="O101" s="20" t="n"/>
    </row>
    <row r="102">
      <c r="A102" s="18">
        <f>IF(D102="","",ROW()-4)</f>
        <v/>
      </c>
      <c r="B102" s="19" t="n"/>
      <c r="C102" s="19" t="n"/>
      <c r="D102" s="20" t="n"/>
      <c r="E102" s="20" t="n"/>
      <c r="F102" s="21" t="n"/>
      <c r="G102" s="19" t="n"/>
      <c r="H102" s="19" t="n"/>
      <c r="I102" s="22" t="n"/>
      <c r="J102" s="19" t="n"/>
      <c r="K102" s="22" t="n"/>
      <c r="L102" s="23">
        <f>IF(COUNT(I102,K102)=0,"",MIN(I102,K102))</f>
        <v/>
      </c>
      <c r="M102" s="24">
        <f>IF(L102="","",L102-TODAY())</f>
        <v/>
      </c>
      <c r="N102" s="25">
        <f>IF(D102="","",IF(B102="最高",30,IF(B102="良い",20,IF(B102="滑り止め",10,0)))+N(G102)*2+IF(F102="",0,MIN(F102/100,15)))</f>
        <v/>
      </c>
      <c r="O102" s="20" t="n"/>
    </row>
    <row r="103">
      <c r="A103" s="18">
        <f>IF(D103="","",ROW()-4)</f>
        <v/>
      </c>
      <c r="B103" s="19" t="n"/>
      <c r="C103" s="19" t="n"/>
      <c r="D103" s="20" t="n"/>
      <c r="E103" s="20" t="n"/>
      <c r="F103" s="21" t="n"/>
      <c r="G103" s="19" t="n"/>
      <c r="H103" s="19" t="n"/>
      <c r="I103" s="22" t="n"/>
      <c r="J103" s="19" t="n"/>
      <c r="K103" s="22" t="n"/>
      <c r="L103" s="23">
        <f>IF(COUNT(I103,K103)=0,"",MIN(I103,K103))</f>
        <v/>
      </c>
      <c r="M103" s="24">
        <f>IF(L103="","",L103-TODAY())</f>
        <v/>
      </c>
      <c r="N103" s="25">
        <f>IF(D103="","",IF(B103="最高",30,IF(B103="良い",20,IF(B103="滑り止め",10,0)))+N(G103)*2+IF(F103="",0,MIN(F103/100,15)))</f>
        <v/>
      </c>
      <c r="O103" s="20" t="n"/>
    </row>
    <row r="104">
      <c r="A104" s="18">
        <f>IF(D104="","",ROW()-4)</f>
        <v/>
      </c>
      <c r="B104" s="19" t="n"/>
      <c r="C104" s="19" t="n"/>
      <c r="D104" s="20" t="n"/>
      <c r="E104" s="20" t="n"/>
      <c r="F104" s="21" t="n"/>
      <c r="G104" s="19" t="n"/>
      <c r="H104" s="19" t="n"/>
      <c r="I104" s="22" t="n"/>
      <c r="J104" s="19" t="n"/>
      <c r="K104" s="22" t="n"/>
      <c r="L104" s="23">
        <f>IF(COUNT(I104,K104)=0,"",MIN(I104,K104))</f>
        <v/>
      </c>
      <c r="M104" s="24">
        <f>IF(L104="","",L104-TODAY())</f>
        <v/>
      </c>
      <c r="N104" s="25">
        <f>IF(D104="","",IF(B104="最高",30,IF(B104="良い",20,IF(B104="滑り止め",10,0)))+N(G104)*2+IF(F104="",0,MIN(F104/100,15)))</f>
        <v/>
      </c>
      <c r="O104" s="20" t="n"/>
    </row>
    <row r="105">
      <c r="A105" s="18">
        <f>IF(D105="","",ROW()-4)</f>
        <v/>
      </c>
      <c r="B105" s="19" t="n"/>
      <c r="C105" s="19" t="n"/>
      <c r="D105" s="20" t="n"/>
      <c r="E105" s="20" t="n"/>
      <c r="F105" s="21" t="n"/>
      <c r="G105" s="19" t="n"/>
      <c r="H105" s="19" t="n"/>
      <c r="I105" s="22" t="n"/>
      <c r="J105" s="19" t="n"/>
      <c r="K105" s="22" t="n"/>
      <c r="L105" s="23">
        <f>IF(COUNT(I105,K105)=0,"",MIN(I105,K105))</f>
        <v/>
      </c>
      <c r="M105" s="24">
        <f>IF(L105="","",L105-TODAY())</f>
        <v/>
      </c>
      <c r="N105" s="25">
        <f>IF(D105="","",IF(B105="最高",30,IF(B105="良い",20,IF(B105="滑り止め",10,0)))+N(G105)*2+IF(F105="",0,MIN(F105/100,15)))</f>
        <v/>
      </c>
      <c r="O105" s="20" t="n"/>
    </row>
    <row r="106">
      <c r="A106" s="18">
        <f>IF(D106="","",ROW()-4)</f>
        <v/>
      </c>
      <c r="B106" s="19" t="n"/>
      <c r="C106" s="19" t="n"/>
      <c r="D106" s="20" t="n"/>
      <c r="E106" s="20" t="n"/>
      <c r="F106" s="21" t="n"/>
      <c r="G106" s="19" t="n"/>
      <c r="H106" s="19" t="n"/>
      <c r="I106" s="22" t="n"/>
      <c r="J106" s="19" t="n"/>
      <c r="K106" s="22" t="n"/>
      <c r="L106" s="23">
        <f>IF(COUNT(I106,K106)=0,"",MIN(I106,K106))</f>
        <v/>
      </c>
      <c r="M106" s="24">
        <f>IF(L106="","",L106-TODAY())</f>
        <v/>
      </c>
      <c r="N106" s="25">
        <f>IF(D106="","",IF(B106="最高",30,IF(B106="良い",20,IF(B106="滑り止め",10,0)))+N(G106)*2+IF(F106="",0,MIN(F106/100,15)))</f>
        <v/>
      </c>
      <c r="O106" s="20" t="n"/>
    </row>
    <row r="107">
      <c r="A107" s="18">
        <f>IF(D107="","",ROW()-4)</f>
        <v/>
      </c>
      <c r="B107" s="19" t="n"/>
      <c r="C107" s="19" t="n"/>
      <c r="D107" s="20" t="n"/>
      <c r="E107" s="20" t="n"/>
      <c r="F107" s="21" t="n"/>
      <c r="G107" s="19" t="n"/>
      <c r="H107" s="19" t="n"/>
      <c r="I107" s="22" t="n"/>
      <c r="J107" s="19" t="n"/>
      <c r="K107" s="22" t="n"/>
      <c r="L107" s="23">
        <f>IF(COUNT(I107,K107)=0,"",MIN(I107,K107))</f>
        <v/>
      </c>
      <c r="M107" s="24">
        <f>IF(L107="","",L107-TODAY())</f>
        <v/>
      </c>
      <c r="N107" s="25">
        <f>IF(D107="","",IF(B107="最高",30,IF(B107="良い",20,IF(B107="滑り止め",10,0)))+N(G107)*2+IF(F107="",0,MIN(F107/100,15)))</f>
        <v/>
      </c>
      <c r="O107" s="20" t="n"/>
    </row>
    <row r="108">
      <c r="A108" s="18">
        <f>IF(D108="","",ROW()-4)</f>
        <v/>
      </c>
      <c r="B108" s="19" t="n"/>
      <c r="C108" s="19" t="n"/>
      <c r="D108" s="20" t="n"/>
      <c r="E108" s="20" t="n"/>
      <c r="F108" s="21" t="n"/>
      <c r="G108" s="19" t="n"/>
      <c r="H108" s="19" t="n"/>
      <c r="I108" s="22" t="n"/>
      <c r="J108" s="19" t="n"/>
      <c r="K108" s="22" t="n"/>
      <c r="L108" s="23">
        <f>IF(COUNT(I108,K108)=0,"",MIN(I108,K108))</f>
        <v/>
      </c>
      <c r="M108" s="24">
        <f>IF(L108="","",L108-TODAY())</f>
        <v/>
      </c>
      <c r="N108" s="25">
        <f>IF(D108="","",IF(B108="最高",30,IF(B108="良い",20,IF(B108="滑り止め",10,0)))+N(G108)*2+IF(F108="",0,MIN(F108/100,15)))</f>
        <v/>
      </c>
      <c r="O108" s="20" t="n"/>
    </row>
    <row r="109">
      <c r="A109" s="18">
        <f>IF(D109="","",ROW()-4)</f>
        <v/>
      </c>
      <c r="B109" s="19" t="n"/>
      <c r="C109" s="19" t="n"/>
      <c r="D109" s="20" t="n"/>
      <c r="E109" s="20" t="n"/>
      <c r="F109" s="21" t="n"/>
      <c r="G109" s="19" t="n"/>
      <c r="H109" s="19" t="n"/>
      <c r="I109" s="22" t="n"/>
      <c r="J109" s="19" t="n"/>
      <c r="K109" s="22" t="n"/>
      <c r="L109" s="23">
        <f>IF(COUNT(I109,K109)=0,"",MIN(I109,K109))</f>
        <v/>
      </c>
      <c r="M109" s="24">
        <f>IF(L109="","",L109-TODAY())</f>
        <v/>
      </c>
      <c r="N109" s="25">
        <f>IF(D109="","",IF(B109="最高",30,IF(B109="良い",20,IF(B109="滑り止め",10,0)))+N(G109)*2+IF(F109="",0,MIN(F109/100,15)))</f>
        <v/>
      </c>
      <c r="O109" s="20" t="n"/>
    </row>
    <row r="110">
      <c r="A110" s="18">
        <f>IF(D110="","",ROW()-4)</f>
        <v/>
      </c>
      <c r="B110" s="19" t="n"/>
      <c r="C110" s="19" t="n"/>
      <c r="D110" s="20" t="n"/>
      <c r="E110" s="20" t="n"/>
      <c r="F110" s="21" t="n"/>
      <c r="G110" s="19" t="n"/>
      <c r="H110" s="19" t="n"/>
      <c r="I110" s="22" t="n"/>
      <c r="J110" s="19" t="n"/>
      <c r="K110" s="22" t="n"/>
      <c r="L110" s="23">
        <f>IF(COUNT(I110,K110)=0,"",MIN(I110,K110))</f>
        <v/>
      </c>
      <c r="M110" s="24">
        <f>IF(L110="","",L110-TODAY())</f>
        <v/>
      </c>
      <c r="N110" s="25">
        <f>IF(D110="","",IF(B110="最高",30,IF(B110="良い",20,IF(B110="滑り止め",10,0)))+N(G110)*2+IF(F110="",0,MIN(F110/100,15)))</f>
        <v/>
      </c>
      <c r="O110" s="20" t="n"/>
    </row>
    <row r="111">
      <c r="A111" s="18">
        <f>IF(D111="","",ROW()-4)</f>
        <v/>
      </c>
      <c r="B111" s="19" t="n"/>
      <c r="C111" s="19" t="n"/>
      <c r="D111" s="20" t="n"/>
      <c r="E111" s="20" t="n"/>
      <c r="F111" s="21" t="n"/>
      <c r="G111" s="19" t="n"/>
      <c r="H111" s="19" t="n"/>
      <c r="I111" s="22" t="n"/>
      <c r="J111" s="19" t="n"/>
      <c r="K111" s="22" t="n"/>
      <c r="L111" s="23">
        <f>IF(COUNT(I111,K111)=0,"",MIN(I111,K111))</f>
        <v/>
      </c>
      <c r="M111" s="24">
        <f>IF(L111="","",L111-TODAY())</f>
        <v/>
      </c>
      <c r="N111" s="25">
        <f>IF(D111="","",IF(B111="最高",30,IF(B111="良い",20,IF(B111="滑り止め",10,0)))+N(G111)*2+IF(F111="",0,MIN(F111/100,15)))</f>
        <v/>
      </c>
      <c r="O111" s="20" t="n"/>
    </row>
    <row r="112">
      <c r="A112" s="18">
        <f>IF(D112="","",ROW()-4)</f>
        <v/>
      </c>
      <c r="B112" s="19" t="n"/>
      <c r="C112" s="19" t="n"/>
      <c r="D112" s="20" t="n"/>
      <c r="E112" s="20" t="n"/>
      <c r="F112" s="21" t="n"/>
      <c r="G112" s="19" t="n"/>
      <c r="H112" s="19" t="n"/>
      <c r="I112" s="22" t="n"/>
      <c r="J112" s="19" t="n"/>
      <c r="K112" s="22" t="n"/>
      <c r="L112" s="23">
        <f>IF(COUNT(I112,K112)=0,"",MIN(I112,K112))</f>
        <v/>
      </c>
      <c r="M112" s="24">
        <f>IF(L112="","",L112-TODAY())</f>
        <v/>
      </c>
      <c r="N112" s="25">
        <f>IF(D112="","",IF(B112="最高",30,IF(B112="良い",20,IF(B112="滑り止め",10,0)))+N(G112)*2+IF(F112="",0,MIN(F112/100,15)))</f>
        <v/>
      </c>
      <c r="O112" s="20" t="n"/>
    </row>
    <row r="113">
      <c r="A113" s="18">
        <f>IF(D113="","",ROW()-4)</f>
        <v/>
      </c>
      <c r="B113" s="19" t="n"/>
      <c r="C113" s="19" t="n"/>
      <c r="D113" s="20" t="n"/>
      <c r="E113" s="20" t="n"/>
      <c r="F113" s="21" t="n"/>
      <c r="G113" s="19" t="n"/>
      <c r="H113" s="19" t="n"/>
      <c r="I113" s="22" t="n"/>
      <c r="J113" s="19" t="n"/>
      <c r="K113" s="22" t="n"/>
      <c r="L113" s="23">
        <f>IF(COUNT(I113,K113)=0,"",MIN(I113,K113))</f>
        <v/>
      </c>
      <c r="M113" s="24">
        <f>IF(L113="","",L113-TODAY())</f>
        <v/>
      </c>
      <c r="N113" s="25">
        <f>IF(D113="","",IF(B113="最高",30,IF(B113="良い",20,IF(B113="滑り止め",10,0)))+N(G113)*2+IF(F113="",0,MIN(F113/100,15)))</f>
        <v/>
      </c>
      <c r="O113" s="20" t="n"/>
    </row>
    <row r="114">
      <c r="A114" s="18">
        <f>IF(D114="","",ROW()-4)</f>
        <v/>
      </c>
      <c r="B114" s="19" t="n"/>
      <c r="C114" s="19" t="n"/>
      <c r="D114" s="20" t="n"/>
      <c r="E114" s="20" t="n"/>
      <c r="F114" s="21" t="n"/>
      <c r="G114" s="19" t="n"/>
      <c r="H114" s="19" t="n"/>
      <c r="I114" s="22" t="n"/>
      <c r="J114" s="19" t="n"/>
      <c r="K114" s="22" t="n"/>
      <c r="L114" s="23">
        <f>IF(COUNT(I114,K114)=0,"",MIN(I114,K114))</f>
        <v/>
      </c>
      <c r="M114" s="24">
        <f>IF(L114="","",L114-TODAY())</f>
        <v/>
      </c>
      <c r="N114" s="25">
        <f>IF(D114="","",IF(B114="最高",30,IF(B114="良い",20,IF(B114="滑り止め",10,0)))+N(G114)*2+IF(F114="",0,MIN(F114/100,15)))</f>
        <v/>
      </c>
      <c r="O114" s="20" t="n"/>
    </row>
    <row r="115">
      <c r="A115" s="18">
        <f>IF(D115="","",ROW()-4)</f>
        <v/>
      </c>
      <c r="B115" s="19" t="n"/>
      <c r="C115" s="19" t="n"/>
      <c r="D115" s="20" t="n"/>
      <c r="E115" s="20" t="n"/>
      <c r="F115" s="21" t="n"/>
      <c r="G115" s="19" t="n"/>
      <c r="H115" s="19" t="n"/>
      <c r="I115" s="22" t="n"/>
      <c r="J115" s="19" t="n"/>
      <c r="K115" s="22" t="n"/>
      <c r="L115" s="23">
        <f>IF(COUNT(I115,K115)=0,"",MIN(I115,K115))</f>
        <v/>
      </c>
      <c r="M115" s="24">
        <f>IF(L115="","",L115-TODAY())</f>
        <v/>
      </c>
      <c r="N115" s="25">
        <f>IF(D115="","",IF(B115="最高",30,IF(B115="良い",20,IF(B115="滑り止め",10,0)))+N(G115)*2+IF(F115="",0,MIN(F115/100,15)))</f>
        <v/>
      </c>
      <c r="O115" s="20" t="n"/>
    </row>
    <row r="116">
      <c r="A116" s="18">
        <f>IF(D116="","",ROW()-4)</f>
        <v/>
      </c>
      <c r="B116" s="19" t="n"/>
      <c r="C116" s="19" t="n"/>
      <c r="D116" s="20" t="n"/>
      <c r="E116" s="20" t="n"/>
      <c r="F116" s="21" t="n"/>
      <c r="G116" s="19" t="n"/>
      <c r="H116" s="19" t="n"/>
      <c r="I116" s="22" t="n"/>
      <c r="J116" s="19" t="n"/>
      <c r="K116" s="22" t="n"/>
      <c r="L116" s="23">
        <f>IF(COUNT(I116,K116)=0,"",MIN(I116,K116))</f>
        <v/>
      </c>
      <c r="M116" s="24">
        <f>IF(L116="","",L116-TODAY())</f>
        <v/>
      </c>
      <c r="N116" s="25">
        <f>IF(D116="","",IF(B116="最高",30,IF(B116="良い",20,IF(B116="滑り止め",10,0)))+N(G116)*2+IF(F116="",0,MIN(F116/100,15)))</f>
        <v/>
      </c>
      <c r="O116" s="20" t="n"/>
    </row>
    <row r="117">
      <c r="A117" s="18">
        <f>IF(D117="","",ROW()-4)</f>
        <v/>
      </c>
      <c r="B117" s="19" t="n"/>
      <c r="C117" s="19" t="n"/>
      <c r="D117" s="20" t="n"/>
      <c r="E117" s="20" t="n"/>
      <c r="F117" s="21" t="n"/>
      <c r="G117" s="19" t="n"/>
      <c r="H117" s="19" t="n"/>
      <c r="I117" s="22" t="n"/>
      <c r="J117" s="19" t="n"/>
      <c r="K117" s="22" t="n"/>
      <c r="L117" s="23">
        <f>IF(COUNT(I117,K117)=0,"",MIN(I117,K117))</f>
        <v/>
      </c>
      <c r="M117" s="24">
        <f>IF(L117="","",L117-TODAY())</f>
        <v/>
      </c>
      <c r="N117" s="25">
        <f>IF(D117="","",IF(B117="最高",30,IF(B117="良い",20,IF(B117="滑り止め",10,0)))+N(G117)*2+IF(F117="",0,MIN(F117/100,15)))</f>
        <v/>
      </c>
      <c r="O117" s="20" t="n"/>
    </row>
    <row r="118">
      <c r="A118" s="18">
        <f>IF(D118="","",ROW()-4)</f>
        <v/>
      </c>
      <c r="B118" s="19" t="n"/>
      <c r="C118" s="19" t="n"/>
      <c r="D118" s="20" t="n"/>
      <c r="E118" s="20" t="n"/>
      <c r="F118" s="21" t="n"/>
      <c r="G118" s="19" t="n"/>
      <c r="H118" s="19" t="n"/>
      <c r="I118" s="22" t="n"/>
      <c r="J118" s="19" t="n"/>
      <c r="K118" s="22" t="n"/>
      <c r="L118" s="23">
        <f>IF(COUNT(I118,K118)=0,"",MIN(I118,K118))</f>
        <v/>
      </c>
      <c r="M118" s="24">
        <f>IF(L118="","",L118-TODAY())</f>
        <v/>
      </c>
      <c r="N118" s="25">
        <f>IF(D118="","",IF(B118="最高",30,IF(B118="良い",20,IF(B118="滑り止め",10,0)))+N(G118)*2+IF(F118="",0,MIN(F118/100,15)))</f>
        <v/>
      </c>
      <c r="O118" s="20" t="n"/>
    </row>
    <row r="119">
      <c r="A119" s="18">
        <f>IF(D119="","",ROW()-4)</f>
        <v/>
      </c>
      <c r="B119" s="19" t="n"/>
      <c r="C119" s="19" t="n"/>
      <c r="D119" s="20" t="n"/>
      <c r="E119" s="20" t="n"/>
      <c r="F119" s="21" t="n"/>
      <c r="G119" s="19" t="n"/>
      <c r="H119" s="19" t="n"/>
      <c r="I119" s="22" t="n"/>
      <c r="J119" s="19" t="n"/>
      <c r="K119" s="22" t="n"/>
      <c r="L119" s="23">
        <f>IF(COUNT(I119,K119)=0,"",MIN(I119,K119))</f>
        <v/>
      </c>
      <c r="M119" s="24">
        <f>IF(L119="","",L119-TODAY())</f>
        <v/>
      </c>
      <c r="N119" s="25">
        <f>IF(D119="","",IF(B119="最高",30,IF(B119="良い",20,IF(B119="滑り止め",10,0)))+N(G119)*2+IF(F119="",0,MIN(F119/100,15)))</f>
        <v/>
      </c>
      <c r="O119" s="20" t="n"/>
    </row>
    <row r="120">
      <c r="A120" s="18">
        <f>IF(D120="","",ROW()-4)</f>
        <v/>
      </c>
      <c r="B120" s="19" t="n"/>
      <c r="C120" s="19" t="n"/>
      <c r="D120" s="20" t="n"/>
      <c r="E120" s="20" t="n"/>
      <c r="F120" s="21" t="n"/>
      <c r="G120" s="19" t="n"/>
      <c r="H120" s="19" t="n"/>
      <c r="I120" s="22" t="n"/>
      <c r="J120" s="19" t="n"/>
      <c r="K120" s="22" t="n"/>
      <c r="L120" s="23">
        <f>IF(COUNT(I120,K120)=0,"",MIN(I120,K120))</f>
        <v/>
      </c>
      <c r="M120" s="24">
        <f>IF(L120="","",L120-TODAY())</f>
        <v/>
      </c>
      <c r="N120" s="25">
        <f>IF(D120="","",IF(B120="最高",30,IF(B120="良い",20,IF(B120="滑り止め",10,0)))+N(G120)*2+IF(F120="",0,MIN(F120/100,15)))</f>
        <v/>
      </c>
      <c r="O120" s="20" t="n"/>
    </row>
    <row r="121">
      <c r="A121" s="18">
        <f>IF(D121="","",ROW()-4)</f>
        <v/>
      </c>
      <c r="B121" s="19" t="n"/>
      <c r="C121" s="19" t="n"/>
      <c r="D121" s="20" t="n"/>
      <c r="E121" s="20" t="n"/>
      <c r="F121" s="21" t="n"/>
      <c r="G121" s="19" t="n"/>
      <c r="H121" s="19" t="n"/>
      <c r="I121" s="22" t="n"/>
      <c r="J121" s="19" t="n"/>
      <c r="K121" s="22" t="n"/>
      <c r="L121" s="23">
        <f>IF(COUNT(I121,K121)=0,"",MIN(I121,K121))</f>
        <v/>
      </c>
      <c r="M121" s="24">
        <f>IF(L121="","",L121-TODAY())</f>
        <v/>
      </c>
      <c r="N121" s="25">
        <f>IF(D121="","",IF(B121="最高",30,IF(B121="良い",20,IF(B121="滑り止め",10,0)))+N(G121)*2+IF(F121="",0,MIN(F121/100,15)))</f>
        <v/>
      </c>
      <c r="O121" s="20" t="n"/>
    </row>
    <row r="122">
      <c r="A122" s="18">
        <f>IF(D122="","",ROW()-4)</f>
        <v/>
      </c>
      <c r="B122" s="19" t="n"/>
      <c r="C122" s="19" t="n"/>
      <c r="D122" s="20" t="n"/>
      <c r="E122" s="20" t="n"/>
      <c r="F122" s="21" t="n"/>
      <c r="G122" s="19" t="n"/>
      <c r="H122" s="19" t="n"/>
      <c r="I122" s="22" t="n"/>
      <c r="J122" s="19" t="n"/>
      <c r="K122" s="22" t="n"/>
      <c r="L122" s="23">
        <f>IF(COUNT(I122,K122)=0,"",MIN(I122,K122))</f>
        <v/>
      </c>
      <c r="M122" s="24">
        <f>IF(L122="","",L122-TODAY())</f>
        <v/>
      </c>
      <c r="N122" s="25">
        <f>IF(D122="","",IF(B122="最高",30,IF(B122="良い",20,IF(B122="滑り止め",10,0)))+N(G122)*2+IF(F122="",0,MIN(F122/100,15)))</f>
        <v/>
      </c>
      <c r="O122" s="20" t="n"/>
    </row>
    <row r="123">
      <c r="A123" s="18">
        <f>IF(D123="","",ROW()-4)</f>
        <v/>
      </c>
      <c r="B123" s="19" t="n"/>
      <c r="C123" s="19" t="n"/>
      <c r="D123" s="20" t="n"/>
      <c r="E123" s="20" t="n"/>
      <c r="F123" s="21" t="n"/>
      <c r="G123" s="19" t="n"/>
      <c r="H123" s="19" t="n"/>
      <c r="I123" s="22" t="n"/>
      <c r="J123" s="19" t="n"/>
      <c r="K123" s="22" t="n"/>
      <c r="L123" s="23">
        <f>IF(COUNT(I123,K123)=0,"",MIN(I123,K123))</f>
        <v/>
      </c>
      <c r="M123" s="24">
        <f>IF(L123="","",L123-TODAY())</f>
        <v/>
      </c>
      <c r="N123" s="25">
        <f>IF(D123="","",IF(B123="最高",30,IF(B123="良い",20,IF(B123="滑り止め",10,0)))+N(G123)*2+IF(F123="",0,MIN(F123/100,15)))</f>
        <v/>
      </c>
      <c r="O123" s="20" t="n"/>
    </row>
    <row r="124">
      <c r="A124" s="18">
        <f>IF(D124="","",ROW()-4)</f>
        <v/>
      </c>
      <c r="B124" s="19" t="n"/>
      <c r="C124" s="19" t="n"/>
      <c r="D124" s="20" t="n"/>
      <c r="E124" s="20" t="n"/>
      <c r="F124" s="21" t="n"/>
      <c r="G124" s="19" t="n"/>
      <c r="H124" s="19" t="n"/>
      <c r="I124" s="22" t="n"/>
      <c r="J124" s="19" t="n"/>
      <c r="K124" s="22" t="n"/>
      <c r="L124" s="23">
        <f>IF(COUNT(I124,K124)=0,"",MIN(I124,K124))</f>
        <v/>
      </c>
      <c r="M124" s="24">
        <f>IF(L124="","",L124-TODAY())</f>
        <v/>
      </c>
      <c r="N124" s="25">
        <f>IF(D124="","",IF(B124="最高",30,IF(B124="良い",20,IF(B124="滑り止め",10,0)))+N(G124)*2+IF(F124="",0,MIN(F124/100,15)))</f>
        <v/>
      </c>
      <c r="O124" s="20" t="n"/>
    </row>
    <row r="125">
      <c r="A125" s="18">
        <f>IF(D125="","",ROW()-4)</f>
        <v/>
      </c>
      <c r="B125" s="19" t="n"/>
      <c r="C125" s="19" t="n"/>
      <c r="D125" s="20" t="n"/>
      <c r="E125" s="20" t="n"/>
      <c r="F125" s="21" t="n"/>
      <c r="G125" s="19" t="n"/>
      <c r="H125" s="19" t="n"/>
      <c r="I125" s="22" t="n"/>
      <c r="J125" s="19" t="n"/>
      <c r="K125" s="22" t="n"/>
      <c r="L125" s="23">
        <f>IF(COUNT(I125,K125)=0,"",MIN(I125,K125))</f>
        <v/>
      </c>
      <c r="M125" s="24">
        <f>IF(L125="","",L125-TODAY())</f>
        <v/>
      </c>
      <c r="N125" s="25">
        <f>IF(D125="","",IF(B125="最高",30,IF(B125="良い",20,IF(B125="滑り止め",10,0)))+N(G125)*2+IF(F125="",0,MIN(F125/100,15)))</f>
        <v/>
      </c>
      <c r="O125" s="20" t="n"/>
    </row>
    <row r="126">
      <c r="A126" s="18">
        <f>IF(D126="","",ROW()-4)</f>
        <v/>
      </c>
      <c r="B126" s="19" t="n"/>
      <c r="C126" s="19" t="n"/>
      <c r="D126" s="20" t="n"/>
      <c r="E126" s="20" t="n"/>
      <c r="F126" s="21" t="n"/>
      <c r="G126" s="19" t="n"/>
      <c r="H126" s="19" t="n"/>
      <c r="I126" s="22" t="n"/>
      <c r="J126" s="19" t="n"/>
      <c r="K126" s="22" t="n"/>
      <c r="L126" s="23">
        <f>IF(COUNT(I126,K126)=0,"",MIN(I126,K126))</f>
        <v/>
      </c>
      <c r="M126" s="24">
        <f>IF(L126="","",L126-TODAY())</f>
        <v/>
      </c>
      <c r="N126" s="25">
        <f>IF(D126="","",IF(B126="最高",30,IF(B126="良い",20,IF(B126="滑り止め",10,0)))+N(G126)*2+IF(F126="",0,MIN(F126/100,15)))</f>
        <v/>
      </c>
      <c r="O126" s="20" t="n"/>
    </row>
    <row r="127">
      <c r="A127" s="18">
        <f>IF(D127="","",ROW()-4)</f>
        <v/>
      </c>
      <c r="B127" s="19" t="n"/>
      <c r="C127" s="19" t="n"/>
      <c r="D127" s="20" t="n"/>
      <c r="E127" s="20" t="n"/>
      <c r="F127" s="21" t="n"/>
      <c r="G127" s="19" t="n"/>
      <c r="H127" s="19" t="n"/>
      <c r="I127" s="22" t="n"/>
      <c r="J127" s="19" t="n"/>
      <c r="K127" s="22" t="n"/>
      <c r="L127" s="23">
        <f>IF(COUNT(I127,K127)=0,"",MIN(I127,K127))</f>
        <v/>
      </c>
      <c r="M127" s="24">
        <f>IF(L127="","",L127-TODAY())</f>
        <v/>
      </c>
      <c r="N127" s="25">
        <f>IF(D127="","",IF(B127="最高",30,IF(B127="良い",20,IF(B127="滑り止め",10,0)))+N(G127)*2+IF(F127="",0,MIN(F127/100,15)))</f>
        <v/>
      </c>
      <c r="O127" s="20" t="n"/>
    </row>
    <row r="128">
      <c r="A128" s="18">
        <f>IF(D128="","",ROW()-4)</f>
        <v/>
      </c>
      <c r="B128" s="19" t="n"/>
      <c r="C128" s="19" t="n"/>
      <c r="D128" s="20" t="n"/>
      <c r="E128" s="20" t="n"/>
      <c r="F128" s="21" t="n"/>
      <c r="G128" s="19" t="n"/>
      <c r="H128" s="19" t="n"/>
      <c r="I128" s="22" t="n"/>
      <c r="J128" s="19" t="n"/>
      <c r="K128" s="22" t="n"/>
      <c r="L128" s="23">
        <f>IF(COUNT(I128,K128)=0,"",MIN(I128,K128))</f>
        <v/>
      </c>
      <c r="M128" s="24">
        <f>IF(L128="","",L128-TODAY())</f>
        <v/>
      </c>
      <c r="N128" s="25">
        <f>IF(D128="","",IF(B128="最高",30,IF(B128="良い",20,IF(B128="滑り止め",10,0)))+N(G128)*2+IF(F128="",0,MIN(F128/100,15)))</f>
        <v/>
      </c>
      <c r="O128" s="20" t="n"/>
    </row>
    <row r="129">
      <c r="A129" s="18">
        <f>IF(D129="","",ROW()-4)</f>
        <v/>
      </c>
      <c r="B129" s="19" t="n"/>
      <c r="C129" s="19" t="n"/>
      <c r="D129" s="20" t="n"/>
      <c r="E129" s="20" t="n"/>
      <c r="F129" s="21" t="n"/>
      <c r="G129" s="19" t="n"/>
      <c r="H129" s="19" t="n"/>
      <c r="I129" s="22" t="n"/>
      <c r="J129" s="19" t="n"/>
      <c r="K129" s="22" t="n"/>
      <c r="L129" s="23">
        <f>IF(COUNT(I129,K129)=0,"",MIN(I129,K129))</f>
        <v/>
      </c>
      <c r="M129" s="24">
        <f>IF(L129="","",L129-TODAY())</f>
        <v/>
      </c>
      <c r="N129" s="25">
        <f>IF(D129="","",IF(B129="最高",30,IF(B129="良い",20,IF(B129="滑り止め",10,0)))+N(G129)*2+IF(F129="",0,MIN(F129/100,15)))</f>
        <v/>
      </c>
      <c r="O129" s="20" t="n"/>
    </row>
    <row r="130">
      <c r="A130" s="18">
        <f>IF(D130="","",ROW()-4)</f>
        <v/>
      </c>
      <c r="B130" s="19" t="n"/>
      <c r="C130" s="19" t="n"/>
      <c r="D130" s="20" t="n"/>
      <c r="E130" s="20" t="n"/>
      <c r="F130" s="21" t="n"/>
      <c r="G130" s="19" t="n"/>
      <c r="H130" s="19" t="n"/>
      <c r="I130" s="22" t="n"/>
      <c r="J130" s="19" t="n"/>
      <c r="K130" s="22" t="n"/>
      <c r="L130" s="23">
        <f>IF(COUNT(I130,K130)=0,"",MIN(I130,K130))</f>
        <v/>
      </c>
      <c r="M130" s="24">
        <f>IF(L130="","",L130-TODAY())</f>
        <v/>
      </c>
      <c r="N130" s="25">
        <f>IF(D130="","",IF(B130="最高",30,IF(B130="良い",20,IF(B130="滑り止め",10,0)))+N(G130)*2+IF(F130="",0,MIN(F130/100,15)))</f>
        <v/>
      </c>
      <c r="O130" s="20" t="n"/>
    </row>
    <row r="131">
      <c r="A131" s="18">
        <f>IF(D131="","",ROW()-4)</f>
        <v/>
      </c>
      <c r="B131" s="19" t="n"/>
      <c r="C131" s="19" t="n"/>
      <c r="D131" s="20" t="n"/>
      <c r="E131" s="20" t="n"/>
      <c r="F131" s="21" t="n"/>
      <c r="G131" s="19" t="n"/>
      <c r="H131" s="19" t="n"/>
      <c r="I131" s="22" t="n"/>
      <c r="J131" s="19" t="n"/>
      <c r="K131" s="22" t="n"/>
      <c r="L131" s="23">
        <f>IF(COUNT(I131,K131)=0,"",MIN(I131,K131))</f>
        <v/>
      </c>
      <c r="M131" s="24">
        <f>IF(L131="","",L131-TODAY())</f>
        <v/>
      </c>
      <c r="N131" s="25">
        <f>IF(D131="","",IF(B131="最高",30,IF(B131="良い",20,IF(B131="滑り止め",10,0)))+N(G131)*2+IF(F131="",0,MIN(F131/100,15)))</f>
        <v/>
      </c>
      <c r="O131" s="20" t="n"/>
    </row>
    <row r="132">
      <c r="A132" s="18">
        <f>IF(D132="","",ROW()-4)</f>
        <v/>
      </c>
      <c r="B132" s="19" t="n"/>
      <c r="C132" s="19" t="n"/>
      <c r="D132" s="20" t="n"/>
      <c r="E132" s="20" t="n"/>
      <c r="F132" s="21" t="n"/>
      <c r="G132" s="19" t="n"/>
      <c r="H132" s="19" t="n"/>
      <c r="I132" s="22" t="n"/>
      <c r="J132" s="19" t="n"/>
      <c r="K132" s="22" t="n"/>
      <c r="L132" s="23">
        <f>IF(COUNT(I132,K132)=0,"",MIN(I132,K132))</f>
        <v/>
      </c>
      <c r="M132" s="24">
        <f>IF(L132="","",L132-TODAY())</f>
        <v/>
      </c>
      <c r="N132" s="25">
        <f>IF(D132="","",IF(B132="最高",30,IF(B132="良い",20,IF(B132="滑り止め",10,0)))+N(G132)*2+IF(F132="",0,MIN(F132/100,15)))</f>
        <v/>
      </c>
      <c r="O132" s="20" t="n"/>
    </row>
    <row r="133">
      <c r="A133" s="18">
        <f>IF(D133="","",ROW()-4)</f>
        <v/>
      </c>
      <c r="B133" s="19" t="n"/>
      <c r="C133" s="19" t="n"/>
      <c r="D133" s="20" t="n"/>
      <c r="E133" s="20" t="n"/>
      <c r="F133" s="21" t="n"/>
      <c r="G133" s="19" t="n"/>
      <c r="H133" s="19" t="n"/>
      <c r="I133" s="22" t="n"/>
      <c r="J133" s="19" t="n"/>
      <c r="K133" s="22" t="n"/>
      <c r="L133" s="23">
        <f>IF(COUNT(I133,K133)=0,"",MIN(I133,K133))</f>
        <v/>
      </c>
      <c r="M133" s="24">
        <f>IF(L133="","",L133-TODAY())</f>
        <v/>
      </c>
      <c r="N133" s="25">
        <f>IF(D133="","",IF(B133="最高",30,IF(B133="良い",20,IF(B133="滑り止め",10,0)))+N(G133)*2+IF(F133="",0,MIN(F133/100,15)))</f>
        <v/>
      </c>
      <c r="O133" s="20" t="n"/>
    </row>
    <row r="134">
      <c r="A134" s="18">
        <f>IF(D134="","",ROW()-4)</f>
        <v/>
      </c>
      <c r="B134" s="19" t="n"/>
      <c r="C134" s="19" t="n"/>
      <c r="D134" s="20" t="n"/>
      <c r="E134" s="20" t="n"/>
      <c r="F134" s="21" t="n"/>
      <c r="G134" s="19" t="n"/>
      <c r="H134" s="19" t="n"/>
      <c r="I134" s="22" t="n"/>
      <c r="J134" s="19" t="n"/>
      <c r="K134" s="22" t="n"/>
      <c r="L134" s="23">
        <f>IF(COUNT(I134,K134)=0,"",MIN(I134,K134))</f>
        <v/>
      </c>
      <c r="M134" s="24">
        <f>IF(L134="","",L134-TODAY())</f>
        <v/>
      </c>
      <c r="N134" s="25">
        <f>IF(D134="","",IF(B134="最高",30,IF(B134="良い",20,IF(B134="滑り止め",10,0)))+N(G134)*2+IF(F134="",0,MIN(F134/100,15)))</f>
        <v/>
      </c>
      <c r="O134" s="20" t="n"/>
    </row>
    <row r="135">
      <c r="A135" s="18">
        <f>IF(D135="","",ROW()-4)</f>
        <v/>
      </c>
      <c r="B135" s="19" t="n"/>
      <c r="C135" s="19" t="n"/>
      <c r="D135" s="20" t="n"/>
      <c r="E135" s="20" t="n"/>
      <c r="F135" s="21" t="n"/>
      <c r="G135" s="19" t="n"/>
      <c r="H135" s="19" t="n"/>
      <c r="I135" s="22" t="n"/>
      <c r="J135" s="19" t="n"/>
      <c r="K135" s="22" t="n"/>
      <c r="L135" s="23">
        <f>IF(COUNT(I135,K135)=0,"",MIN(I135,K135))</f>
        <v/>
      </c>
      <c r="M135" s="24">
        <f>IF(L135="","",L135-TODAY())</f>
        <v/>
      </c>
      <c r="N135" s="25">
        <f>IF(D135="","",IF(B135="最高",30,IF(B135="良い",20,IF(B135="滑り止め",10,0)))+N(G135)*2+IF(F135="",0,MIN(F135/100,15)))</f>
        <v/>
      </c>
      <c r="O135" s="20" t="n"/>
    </row>
    <row r="136">
      <c r="A136" s="18">
        <f>IF(D136="","",ROW()-4)</f>
        <v/>
      </c>
      <c r="B136" s="19" t="n"/>
      <c r="C136" s="19" t="n"/>
      <c r="D136" s="20" t="n"/>
      <c r="E136" s="20" t="n"/>
      <c r="F136" s="21" t="n"/>
      <c r="G136" s="19" t="n"/>
      <c r="H136" s="19" t="n"/>
      <c r="I136" s="22" t="n"/>
      <c r="J136" s="19" t="n"/>
      <c r="K136" s="22" t="n"/>
      <c r="L136" s="23">
        <f>IF(COUNT(I136,K136)=0,"",MIN(I136,K136))</f>
        <v/>
      </c>
      <c r="M136" s="24">
        <f>IF(L136="","",L136-TODAY())</f>
        <v/>
      </c>
      <c r="N136" s="25">
        <f>IF(D136="","",IF(B136="最高",30,IF(B136="良い",20,IF(B136="滑り止め",10,0)))+N(G136)*2+IF(F136="",0,MIN(F136/100,15)))</f>
        <v/>
      </c>
      <c r="O136" s="20" t="n"/>
    </row>
    <row r="137">
      <c r="A137" s="18">
        <f>IF(D137="","",ROW()-4)</f>
        <v/>
      </c>
      <c r="B137" s="19" t="n"/>
      <c r="C137" s="19" t="n"/>
      <c r="D137" s="20" t="n"/>
      <c r="E137" s="20" t="n"/>
      <c r="F137" s="21" t="n"/>
      <c r="G137" s="19" t="n"/>
      <c r="H137" s="19" t="n"/>
      <c r="I137" s="22" t="n"/>
      <c r="J137" s="19" t="n"/>
      <c r="K137" s="22" t="n"/>
      <c r="L137" s="23">
        <f>IF(COUNT(I137,K137)=0,"",MIN(I137,K137))</f>
        <v/>
      </c>
      <c r="M137" s="24">
        <f>IF(L137="","",L137-TODAY())</f>
        <v/>
      </c>
      <c r="N137" s="25">
        <f>IF(D137="","",IF(B137="最高",30,IF(B137="良い",20,IF(B137="滑り止め",10,0)))+N(G137)*2+IF(F137="",0,MIN(F137/100,15)))</f>
        <v/>
      </c>
      <c r="O137" s="20" t="n"/>
    </row>
    <row r="138">
      <c r="A138" s="18">
        <f>IF(D138="","",ROW()-4)</f>
        <v/>
      </c>
      <c r="B138" s="19" t="n"/>
      <c r="C138" s="19" t="n"/>
      <c r="D138" s="20" t="n"/>
      <c r="E138" s="20" t="n"/>
      <c r="F138" s="21" t="n"/>
      <c r="G138" s="19" t="n"/>
      <c r="H138" s="19" t="n"/>
      <c r="I138" s="22" t="n"/>
      <c r="J138" s="19" t="n"/>
      <c r="K138" s="22" t="n"/>
      <c r="L138" s="23">
        <f>IF(COUNT(I138,K138)=0,"",MIN(I138,K138))</f>
        <v/>
      </c>
      <c r="M138" s="24">
        <f>IF(L138="","",L138-TODAY())</f>
        <v/>
      </c>
      <c r="N138" s="25">
        <f>IF(D138="","",IF(B138="最高",30,IF(B138="良い",20,IF(B138="滑り止め",10,0)))+N(G138)*2+IF(F138="",0,MIN(F138/100,15)))</f>
        <v/>
      </c>
      <c r="O138" s="20" t="n"/>
    </row>
    <row r="139">
      <c r="A139" s="18">
        <f>IF(D139="","",ROW()-4)</f>
        <v/>
      </c>
      <c r="B139" s="19" t="n"/>
      <c r="C139" s="19" t="n"/>
      <c r="D139" s="20" t="n"/>
      <c r="E139" s="20" t="n"/>
      <c r="F139" s="21" t="n"/>
      <c r="G139" s="19" t="n"/>
      <c r="H139" s="19" t="n"/>
      <c r="I139" s="22" t="n"/>
      <c r="J139" s="19" t="n"/>
      <c r="K139" s="22" t="n"/>
      <c r="L139" s="23">
        <f>IF(COUNT(I139,K139)=0,"",MIN(I139,K139))</f>
        <v/>
      </c>
      <c r="M139" s="24">
        <f>IF(L139="","",L139-TODAY())</f>
        <v/>
      </c>
      <c r="N139" s="25">
        <f>IF(D139="","",IF(B139="最高",30,IF(B139="良い",20,IF(B139="滑り止め",10,0)))+N(G139)*2+IF(F139="",0,MIN(F139/100,15)))</f>
        <v/>
      </c>
      <c r="O139" s="20" t="n"/>
    </row>
    <row r="140">
      <c r="A140" s="18">
        <f>IF(D140="","",ROW()-4)</f>
        <v/>
      </c>
      <c r="B140" s="19" t="n"/>
      <c r="C140" s="19" t="n"/>
      <c r="D140" s="20" t="n"/>
      <c r="E140" s="20" t="n"/>
      <c r="F140" s="21" t="n"/>
      <c r="G140" s="19" t="n"/>
      <c r="H140" s="19" t="n"/>
      <c r="I140" s="22" t="n"/>
      <c r="J140" s="19" t="n"/>
      <c r="K140" s="22" t="n"/>
      <c r="L140" s="23">
        <f>IF(COUNT(I140,K140)=0,"",MIN(I140,K140))</f>
        <v/>
      </c>
      <c r="M140" s="24">
        <f>IF(L140="","",L140-TODAY())</f>
        <v/>
      </c>
      <c r="N140" s="25">
        <f>IF(D140="","",IF(B140="最高",30,IF(B140="良い",20,IF(B140="滑り止め",10,0)))+N(G140)*2+IF(F140="",0,MIN(F140/100,15)))</f>
        <v/>
      </c>
      <c r="O140" s="20" t="n"/>
    </row>
    <row r="141">
      <c r="A141" s="18">
        <f>IF(D141="","",ROW()-4)</f>
        <v/>
      </c>
      <c r="B141" s="19" t="n"/>
      <c r="C141" s="19" t="n"/>
      <c r="D141" s="20" t="n"/>
      <c r="E141" s="20" t="n"/>
      <c r="F141" s="21" t="n"/>
      <c r="G141" s="19" t="n"/>
      <c r="H141" s="19" t="n"/>
      <c r="I141" s="22" t="n"/>
      <c r="J141" s="19" t="n"/>
      <c r="K141" s="22" t="n"/>
      <c r="L141" s="23">
        <f>IF(COUNT(I141,K141)=0,"",MIN(I141,K141))</f>
        <v/>
      </c>
      <c r="M141" s="24">
        <f>IF(L141="","",L141-TODAY())</f>
        <v/>
      </c>
      <c r="N141" s="25">
        <f>IF(D141="","",IF(B141="最高",30,IF(B141="良い",20,IF(B141="滑り止め",10,0)))+N(G141)*2+IF(F141="",0,MIN(F141/100,15)))</f>
        <v/>
      </c>
      <c r="O141" s="20" t="n"/>
    </row>
    <row r="142">
      <c r="A142" s="18">
        <f>IF(D142="","",ROW()-4)</f>
        <v/>
      </c>
      <c r="B142" s="19" t="n"/>
      <c r="C142" s="19" t="n"/>
      <c r="D142" s="20" t="n"/>
      <c r="E142" s="20" t="n"/>
      <c r="F142" s="21" t="n"/>
      <c r="G142" s="19" t="n"/>
      <c r="H142" s="19" t="n"/>
      <c r="I142" s="22" t="n"/>
      <c r="J142" s="19" t="n"/>
      <c r="K142" s="22" t="n"/>
      <c r="L142" s="23">
        <f>IF(COUNT(I142,K142)=0,"",MIN(I142,K142))</f>
        <v/>
      </c>
      <c r="M142" s="24">
        <f>IF(L142="","",L142-TODAY())</f>
        <v/>
      </c>
      <c r="N142" s="25">
        <f>IF(D142="","",IF(B142="最高",30,IF(B142="良い",20,IF(B142="滑り止め",10,0)))+N(G142)*2+IF(F142="",0,MIN(F142/100,15)))</f>
        <v/>
      </c>
      <c r="O142" s="20" t="n"/>
    </row>
    <row r="143">
      <c r="A143" s="18">
        <f>IF(D143="","",ROW()-4)</f>
        <v/>
      </c>
      <c r="B143" s="19" t="n"/>
      <c r="C143" s="19" t="n"/>
      <c r="D143" s="20" t="n"/>
      <c r="E143" s="20" t="n"/>
      <c r="F143" s="21" t="n"/>
      <c r="G143" s="19" t="n"/>
      <c r="H143" s="19" t="n"/>
      <c r="I143" s="22" t="n"/>
      <c r="J143" s="19" t="n"/>
      <c r="K143" s="22" t="n"/>
      <c r="L143" s="23">
        <f>IF(COUNT(I143,K143)=0,"",MIN(I143,K143))</f>
        <v/>
      </c>
      <c r="M143" s="24">
        <f>IF(L143="","",L143-TODAY())</f>
        <v/>
      </c>
      <c r="N143" s="25">
        <f>IF(D143="","",IF(B143="最高",30,IF(B143="良い",20,IF(B143="滑り止め",10,0)))+N(G143)*2+IF(F143="",0,MIN(F143/100,15)))</f>
        <v/>
      </c>
      <c r="O143" s="20" t="n"/>
    </row>
    <row r="144">
      <c r="A144" s="18">
        <f>IF(D144="","",ROW()-4)</f>
        <v/>
      </c>
      <c r="B144" s="19" t="n"/>
      <c r="C144" s="19" t="n"/>
      <c r="D144" s="20" t="n"/>
      <c r="E144" s="20" t="n"/>
      <c r="F144" s="21" t="n"/>
      <c r="G144" s="19" t="n"/>
      <c r="H144" s="19" t="n"/>
      <c r="I144" s="22" t="n"/>
      <c r="J144" s="19" t="n"/>
      <c r="K144" s="22" t="n"/>
      <c r="L144" s="23">
        <f>IF(COUNT(I144,K144)=0,"",MIN(I144,K144))</f>
        <v/>
      </c>
      <c r="M144" s="24">
        <f>IF(L144="","",L144-TODAY())</f>
        <v/>
      </c>
      <c r="N144" s="25">
        <f>IF(D144="","",IF(B144="最高",30,IF(B144="良い",20,IF(B144="滑り止め",10,0)))+N(G144)*2+IF(F144="",0,MIN(F144/100,15)))</f>
        <v/>
      </c>
      <c r="O144" s="20" t="n"/>
    </row>
    <row r="145">
      <c r="A145" s="18">
        <f>IF(D145="","",ROW()-4)</f>
        <v/>
      </c>
      <c r="B145" s="19" t="n"/>
      <c r="C145" s="19" t="n"/>
      <c r="D145" s="20" t="n"/>
      <c r="E145" s="20" t="n"/>
      <c r="F145" s="21" t="n"/>
      <c r="G145" s="19" t="n"/>
      <c r="H145" s="19" t="n"/>
      <c r="I145" s="22" t="n"/>
      <c r="J145" s="19" t="n"/>
      <c r="K145" s="22" t="n"/>
      <c r="L145" s="23">
        <f>IF(COUNT(I145,K145)=0,"",MIN(I145,K145))</f>
        <v/>
      </c>
      <c r="M145" s="24">
        <f>IF(L145="","",L145-TODAY())</f>
        <v/>
      </c>
      <c r="N145" s="25">
        <f>IF(D145="","",IF(B145="最高",30,IF(B145="良い",20,IF(B145="滑り止め",10,0)))+N(G145)*2+IF(F145="",0,MIN(F145/100,15)))</f>
        <v/>
      </c>
      <c r="O145" s="20" t="n"/>
    </row>
    <row r="146">
      <c r="A146" s="18">
        <f>IF(D146="","",ROW()-4)</f>
        <v/>
      </c>
      <c r="B146" s="19" t="n"/>
      <c r="C146" s="19" t="n"/>
      <c r="D146" s="20" t="n"/>
      <c r="E146" s="20" t="n"/>
      <c r="F146" s="21" t="n"/>
      <c r="G146" s="19" t="n"/>
      <c r="H146" s="19" t="n"/>
      <c r="I146" s="22" t="n"/>
      <c r="J146" s="19" t="n"/>
      <c r="K146" s="22" t="n"/>
      <c r="L146" s="23">
        <f>IF(COUNT(I146,K146)=0,"",MIN(I146,K146))</f>
        <v/>
      </c>
      <c r="M146" s="24">
        <f>IF(L146="","",L146-TODAY())</f>
        <v/>
      </c>
      <c r="N146" s="25">
        <f>IF(D146="","",IF(B146="最高",30,IF(B146="良い",20,IF(B146="滑り止め",10,0)))+N(G146)*2+IF(F146="",0,MIN(F146/100,15)))</f>
        <v/>
      </c>
      <c r="O146" s="20" t="n"/>
    </row>
    <row r="147">
      <c r="A147" s="18">
        <f>IF(D147="","",ROW()-4)</f>
        <v/>
      </c>
      <c r="B147" s="19" t="n"/>
      <c r="C147" s="19" t="n"/>
      <c r="D147" s="20" t="n"/>
      <c r="E147" s="20" t="n"/>
      <c r="F147" s="21" t="n"/>
      <c r="G147" s="19" t="n"/>
      <c r="H147" s="19" t="n"/>
      <c r="I147" s="22" t="n"/>
      <c r="J147" s="19" t="n"/>
      <c r="K147" s="22" t="n"/>
      <c r="L147" s="23">
        <f>IF(COUNT(I147,K147)=0,"",MIN(I147,K147))</f>
        <v/>
      </c>
      <c r="M147" s="24">
        <f>IF(L147="","",L147-TODAY())</f>
        <v/>
      </c>
      <c r="N147" s="25">
        <f>IF(D147="","",IF(B147="最高",30,IF(B147="良い",20,IF(B147="滑り止め",10,0)))+N(G147)*2+IF(F147="",0,MIN(F147/100,15)))</f>
        <v/>
      </c>
      <c r="O147" s="20" t="n"/>
    </row>
    <row r="148">
      <c r="A148" s="18">
        <f>IF(D148="","",ROW()-4)</f>
        <v/>
      </c>
      <c r="B148" s="19" t="n"/>
      <c r="C148" s="19" t="n"/>
      <c r="D148" s="20" t="n"/>
      <c r="E148" s="20" t="n"/>
      <c r="F148" s="21" t="n"/>
      <c r="G148" s="19" t="n"/>
      <c r="H148" s="19" t="n"/>
      <c r="I148" s="22" t="n"/>
      <c r="J148" s="19" t="n"/>
      <c r="K148" s="22" t="n"/>
      <c r="L148" s="23">
        <f>IF(COUNT(I148,K148)=0,"",MIN(I148,K148))</f>
        <v/>
      </c>
      <c r="M148" s="24">
        <f>IF(L148="","",L148-TODAY())</f>
        <v/>
      </c>
      <c r="N148" s="25">
        <f>IF(D148="","",IF(B148="最高",30,IF(B148="良い",20,IF(B148="滑り止め",10,0)))+N(G148)*2+IF(F148="",0,MIN(F148/100,15)))</f>
        <v/>
      </c>
      <c r="O148" s="20" t="n"/>
    </row>
    <row r="149">
      <c r="A149" s="18">
        <f>IF(D149="","",ROW()-4)</f>
        <v/>
      </c>
      <c r="B149" s="19" t="n"/>
      <c r="C149" s="19" t="n"/>
      <c r="D149" s="20" t="n"/>
      <c r="E149" s="20" t="n"/>
      <c r="F149" s="21" t="n"/>
      <c r="G149" s="19" t="n"/>
      <c r="H149" s="19" t="n"/>
      <c r="I149" s="22" t="n"/>
      <c r="J149" s="19" t="n"/>
      <c r="K149" s="22" t="n"/>
      <c r="L149" s="23">
        <f>IF(COUNT(I149,K149)=0,"",MIN(I149,K149))</f>
        <v/>
      </c>
      <c r="M149" s="24">
        <f>IF(L149="","",L149-TODAY())</f>
        <v/>
      </c>
      <c r="N149" s="25">
        <f>IF(D149="","",IF(B149="最高",30,IF(B149="良い",20,IF(B149="滑り止め",10,0)))+N(G149)*2+IF(F149="",0,MIN(F149/100,15)))</f>
        <v/>
      </c>
      <c r="O149" s="20" t="n"/>
    </row>
    <row r="150">
      <c r="A150" s="18">
        <f>IF(D150="","",ROW()-4)</f>
        <v/>
      </c>
      <c r="B150" s="19" t="n"/>
      <c r="C150" s="19" t="n"/>
      <c r="D150" s="20" t="n"/>
      <c r="E150" s="20" t="n"/>
      <c r="F150" s="21" t="n"/>
      <c r="G150" s="19" t="n"/>
      <c r="H150" s="19" t="n"/>
      <c r="I150" s="22" t="n"/>
      <c r="J150" s="19" t="n"/>
      <c r="K150" s="22" t="n"/>
      <c r="L150" s="23">
        <f>IF(COUNT(I150,K150)=0,"",MIN(I150,K150))</f>
        <v/>
      </c>
      <c r="M150" s="24">
        <f>IF(L150="","",L150-TODAY())</f>
        <v/>
      </c>
      <c r="N150" s="25">
        <f>IF(D150="","",IF(B150="最高",30,IF(B150="良い",20,IF(B150="滑り止め",10,0)))+N(G150)*2+IF(F150="",0,MIN(F150/100,15)))</f>
        <v/>
      </c>
      <c r="O150" s="20" t="n"/>
    </row>
    <row r="151">
      <c r="A151" s="18">
        <f>IF(D151="","",ROW()-4)</f>
        <v/>
      </c>
      <c r="B151" s="19" t="n"/>
      <c r="C151" s="19" t="n"/>
      <c r="D151" s="20" t="n"/>
      <c r="E151" s="20" t="n"/>
      <c r="F151" s="21" t="n"/>
      <c r="G151" s="19" t="n"/>
      <c r="H151" s="19" t="n"/>
      <c r="I151" s="22" t="n"/>
      <c r="J151" s="19" t="n"/>
      <c r="K151" s="22" t="n"/>
      <c r="L151" s="23">
        <f>IF(COUNT(I151,K151)=0,"",MIN(I151,K151))</f>
        <v/>
      </c>
      <c r="M151" s="24">
        <f>IF(L151="","",L151-TODAY())</f>
        <v/>
      </c>
      <c r="N151" s="25">
        <f>IF(D151="","",IF(B151="最高",30,IF(B151="良い",20,IF(B151="滑り止め",10,0)))+N(G151)*2+IF(F151="",0,MIN(F151/100,15)))</f>
        <v/>
      </c>
      <c r="O151" s="20" t="n"/>
    </row>
    <row r="152">
      <c r="A152" s="18">
        <f>IF(D152="","",ROW()-4)</f>
        <v/>
      </c>
      <c r="B152" s="19" t="n"/>
      <c r="C152" s="19" t="n"/>
      <c r="D152" s="20" t="n"/>
      <c r="E152" s="20" t="n"/>
      <c r="F152" s="21" t="n"/>
      <c r="G152" s="19" t="n"/>
      <c r="H152" s="19" t="n"/>
      <c r="I152" s="22" t="n"/>
      <c r="J152" s="19" t="n"/>
      <c r="K152" s="22" t="n"/>
      <c r="L152" s="23">
        <f>IF(COUNT(I152,K152)=0,"",MIN(I152,K152))</f>
        <v/>
      </c>
      <c r="M152" s="24">
        <f>IF(L152="","",L152-TODAY())</f>
        <v/>
      </c>
      <c r="N152" s="25">
        <f>IF(D152="","",IF(B152="最高",30,IF(B152="良い",20,IF(B152="滑り止め",10,0)))+N(G152)*2+IF(F152="",0,MIN(F152/100,15)))</f>
        <v/>
      </c>
      <c r="O152" s="20" t="n"/>
    </row>
    <row r="153">
      <c r="A153" s="18">
        <f>IF(D153="","",ROW()-4)</f>
        <v/>
      </c>
      <c r="B153" s="19" t="n"/>
      <c r="C153" s="19" t="n"/>
      <c r="D153" s="20" t="n"/>
      <c r="E153" s="20" t="n"/>
      <c r="F153" s="21" t="n"/>
      <c r="G153" s="19" t="n"/>
      <c r="H153" s="19" t="n"/>
      <c r="I153" s="22" t="n"/>
      <c r="J153" s="19" t="n"/>
      <c r="K153" s="22" t="n"/>
      <c r="L153" s="23">
        <f>IF(COUNT(I153,K153)=0,"",MIN(I153,K153))</f>
        <v/>
      </c>
      <c r="M153" s="24">
        <f>IF(L153="","",L153-TODAY())</f>
        <v/>
      </c>
      <c r="N153" s="25">
        <f>IF(D153="","",IF(B153="最高",30,IF(B153="良い",20,IF(B153="滑り止め",10,0)))+N(G153)*2+IF(F153="",0,MIN(F153/100,15)))</f>
        <v/>
      </c>
      <c r="O153" s="20" t="n"/>
    </row>
    <row r="154">
      <c r="A154" s="18">
        <f>IF(D154="","",ROW()-4)</f>
        <v/>
      </c>
      <c r="B154" s="19" t="n"/>
      <c r="C154" s="19" t="n"/>
      <c r="D154" s="20" t="n"/>
      <c r="E154" s="20" t="n"/>
      <c r="F154" s="21" t="n"/>
      <c r="G154" s="19" t="n"/>
      <c r="H154" s="19" t="n"/>
      <c r="I154" s="22" t="n"/>
      <c r="J154" s="19" t="n"/>
      <c r="K154" s="22" t="n"/>
      <c r="L154" s="23">
        <f>IF(COUNT(I154,K154)=0,"",MIN(I154,K154))</f>
        <v/>
      </c>
      <c r="M154" s="24">
        <f>IF(L154="","",L154-TODAY())</f>
        <v/>
      </c>
      <c r="N154" s="25">
        <f>IF(D154="","",IF(B154="最高",30,IF(B154="良い",20,IF(B154="滑り止め",10,0)))+N(G154)*2+IF(F154="",0,MIN(F154/100,15)))</f>
        <v/>
      </c>
      <c r="O154" s="20" t="n"/>
    </row>
    <row r="155">
      <c r="A155" s="18">
        <f>IF(D155="","",ROW()-4)</f>
        <v/>
      </c>
      <c r="B155" s="19" t="n"/>
      <c r="C155" s="19" t="n"/>
      <c r="D155" s="20" t="n"/>
      <c r="E155" s="20" t="n"/>
      <c r="F155" s="21" t="n"/>
      <c r="G155" s="19" t="n"/>
      <c r="H155" s="19" t="n"/>
      <c r="I155" s="22" t="n"/>
      <c r="J155" s="19" t="n"/>
      <c r="K155" s="22" t="n"/>
      <c r="L155" s="23">
        <f>IF(COUNT(I155,K155)=0,"",MIN(I155,K155))</f>
        <v/>
      </c>
      <c r="M155" s="24">
        <f>IF(L155="","",L155-TODAY())</f>
        <v/>
      </c>
      <c r="N155" s="25">
        <f>IF(D155="","",IF(B155="最高",30,IF(B155="良い",20,IF(B155="滑り止め",10,0)))+N(G155)*2+IF(F155="",0,MIN(F155/100,15)))</f>
        <v/>
      </c>
      <c r="O155" s="20" t="n"/>
    </row>
    <row r="156">
      <c r="A156" s="18">
        <f>IF(D156="","",ROW()-4)</f>
        <v/>
      </c>
      <c r="B156" s="19" t="n"/>
      <c r="C156" s="19" t="n"/>
      <c r="D156" s="20" t="n"/>
      <c r="E156" s="20" t="n"/>
      <c r="F156" s="21" t="n"/>
      <c r="G156" s="19" t="n"/>
      <c r="H156" s="19" t="n"/>
      <c r="I156" s="22" t="n"/>
      <c r="J156" s="19" t="n"/>
      <c r="K156" s="22" t="n"/>
      <c r="L156" s="23">
        <f>IF(COUNT(I156,K156)=0,"",MIN(I156,K156))</f>
        <v/>
      </c>
      <c r="M156" s="24">
        <f>IF(L156="","",L156-TODAY())</f>
        <v/>
      </c>
      <c r="N156" s="25">
        <f>IF(D156="","",IF(B156="最高",30,IF(B156="良い",20,IF(B156="滑り止め",10,0)))+N(G156)*2+IF(F156="",0,MIN(F156/100,15)))</f>
        <v/>
      </c>
      <c r="O156" s="20" t="n"/>
    </row>
    <row r="157">
      <c r="A157" s="18">
        <f>IF(D157="","",ROW()-4)</f>
        <v/>
      </c>
      <c r="B157" s="19" t="n"/>
      <c r="C157" s="19" t="n"/>
      <c r="D157" s="20" t="n"/>
      <c r="E157" s="20" t="n"/>
      <c r="F157" s="21" t="n"/>
      <c r="G157" s="19" t="n"/>
      <c r="H157" s="19" t="n"/>
      <c r="I157" s="22" t="n"/>
      <c r="J157" s="19" t="n"/>
      <c r="K157" s="22" t="n"/>
      <c r="L157" s="23">
        <f>IF(COUNT(I157,K157)=0,"",MIN(I157,K157))</f>
        <v/>
      </c>
      <c r="M157" s="24">
        <f>IF(L157="","",L157-TODAY())</f>
        <v/>
      </c>
      <c r="N157" s="25">
        <f>IF(D157="","",IF(B157="最高",30,IF(B157="良い",20,IF(B157="滑り止め",10,0)))+N(G157)*2+IF(F157="",0,MIN(F157/100,15)))</f>
        <v/>
      </c>
      <c r="O157" s="20" t="n"/>
    </row>
    <row r="158">
      <c r="A158" s="18">
        <f>IF(D158="","",ROW()-4)</f>
        <v/>
      </c>
      <c r="B158" s="19" t="n"/>
      <c r="C158" s="19" t="n"/>
      <c r="D158" s="20" t="n"/>
      <c r="E158" s="20" t="n"/>
      <c r="F158" s="21" t="n"/>
      <c r="G158" s="19" t="n"/>
      <c r="H158" s="19" t="n"/>
      <c r="I158" s="22" t="n"/>
      <c r="J158" s="19" t="n"/>
      <c r="K158" s="22" t="n"/>
      <c r="L158" s="23">
        <f>IF(COUNT(I158,K158)=0,"",MIN(I158,K158))</f>
        <v/>
      </c>
      <c r="M158" s="24">
        <f>IF(L158="","",L158-TODAY())</f>
        <v/>
      </c>
      <c r="N158" s="25">
        <f>IF(D158="","",IF(B158="最高",30,IF(B158="良い",20,IF(B158="滑り止め",10,0)))+N(G158)*2+IF(F158="",0,MIN(F158/100,15)))</f>
        <v/>
      </c>
      <c r="O158" s="20" t="n"/>
    </row>
    <row r="159">
      <c r="A159" s="18">
        <f>IF(D159="","",ROW()-4)</f>
        <v/>
      </c>
      <c r="B159" s="19" t="n"/>
      <c r="C159" s="19" t="n"/>
      <c r="D159" s="20" t="n"/>
      <c r="E159" s="20" t="n"/>
      <c r="F159" s="21" t="n"/>
      <c r="G159" s="19" t="n"/>
      <c r="H159" s="19" t="n"/>
      <c r="I159" s="22" t="n"/>
      <c r="J159" s="19" t="n"/>
      <c r="K159" s="22" t="n"/>
      <c r="L159" s="23">
        <f>IF(COUNT(I159,K159)=0,"",MIN(I159,K159))</f>
        <v/>
      </c>
      <c r="M159" s="24">
        <f>IF(L159="","",L159-TODAY())</f>
        <v/>
      </c>
      <c r="N159" s="25">
        <f>IF(D159="","",IF(B159="最高",30,IF(B159="良い",20,IF(B159="滑り止め",10,0)))+N(G159)*2+IF(F159="",0,MIN(F159/100,15)))</f>
        <v/>
      </c>
      <c r="O159" s="20" t="n"/>
    </row>
    <row r="160">
      <c r="A160" s="18">
        <f>IF(D160="","",ROW()-4)</f>
        <v/>
      </c>
      <c r="B160" s="19" t="n"/>
      <c r="C160" s="19" t="n"/>
      <c r="D160" s="20" t="n"/>
      <c r="E160" s="20" t="n"/>
      <c r="F160" s="21" t="n"/>
      <c r="G160" s="19" t="n"/>
      <c r="H160" s="19" t="n"/>
      <c r="I160" s="22" t="n"/>
      <c r="J160" s="19" t="n"/>
      <c r="K160" s="22" t="n"/>
      <c r="L160" s="23">
        <f>IF(COUNT(I160,K160)=0,"",MIN(I160,K160))</f>
        <v/>
      </c>
      <c r="M160" s="24">
        <f>IF(L160="","",L160-TODAY())</f>
        <v/>
      </c>
      <c r="N160" s="25">
        <f>IF(D160="","",IF(B160="最高",30,IF(B160="良い",20,IF(B160="滑り止め",10,0)))+N(G160)*2+IF(F160="",0,MIN(F160/100,15)))</f>
        <v/>
      </c>
      <c r="O160" s="20" t="n"/>
    </row>
    <row r="161">
      <c r="A161" s="18">
        <f>IF(D161="","",ROW()-4)</f>
        <v/>
      </c>
      <c r="B161" s="19" t="n"/>
      <c r="C161" s="19" t="n"/>
      <c r="D161" s="20" t="n"/>
      <c r="E161" s="20" t="n"/>
      <c r="F161" s="21" t="n"/>
      <c r="G161" s="19" t="n"/>
      <c r="H161" s="19" t="n"/>
      <c r="I161" s="22" t="n"/>
      <c r="J161" s="19" t="n"/>
      <c r="K161" s="22" t="n"/>
      <c r="L161" s="23">
        <f>IF(COUNT(I161,K161)=0,"",MIN(I161,K161))</f>
        <v/>
      </c>
      <c r="M161" s="24">
        <f>IF(L161="","",L161-TODAY())</f>
        <v/>
      </c>
      <c r="N161" s="25">
        <f>IF(D161="","",IF(B161="最高",30,IF(B161="良い",20,IF(B161="滑り止め",10,0)))+N(G161)*2+IF(F161="",0,MIN(F161/100,15)))</f>
        <v/>
      </c>
      <c r="O161" s="20" t="n"/>
    </row>
    <row r="162">
      <c r="A162" s="18">
        <f>IF(D162="","",ROW()-4)</f>
        <v/>
      </c>
      <c r="B162" s="19" t="n"/>
      <c r="C162" s="19" t="n"/>
      <c r="D162" s="20" t="n"/>
      <c r="E162" s="20" t="n"/>
      <c r="F162" s="21" t="n"/>
      <c r="G162" s="19" t="n"/>
      <c r="H162" s="19" t="n"/>
      <c r="I162" s="22" t="n"/>
      <c r="J162" s="19" t="n"/>
      <c r="K162" s="22" t="n"/>
      <c r="L162" s="23">
        <f>IF(COUNT(I162,K162)=0,"",MIN(I162,K162))</f>
        <v/>
      </c>
      <c r="M162" s="24">
        <f>IF(L162="","",L162-TODAY())</f>
        <v/>
      </c>
      <c r="N162" s="25">
        <f>IF(D162="","",IF(B162="最高",30,IF(B162="良い",20,IF(B162="滑り止め",10,0)))+N(G162)*2+IF(F162="",0,MIN(F162/100,15)))</f>
        <v/>
      </c>
      <c r="O162" s="20" t="n"/>
    </row>
    <row r="163">
      <c r="A163" s="18">
        <f>IF(D163="","",ROW()-4)</f>
        <v/>
      </c>
      <c r="B163" s="19" t="n"/>
      <c r="C163" s="19" t="n"/>
      <c r="D163" s="20" t="n"/>
      <c r="E163" s="20" t="n"/>
      <c r="F163" s="21" t="n"/>
      <c r="G163" s="19" t="n"/>
      <c r="H163" s="19" t="n"/>
      <c r="I163" s="22" t="n"/>
      <c r="J163" s="19" t="n"/>
      <c r="K163" s="22" t="n"/>
      <c r="L163" s="23">
        <f>IF(COUNT(I163,K163)=0,"",MIN(I163,K163))</f>
        <v/>
      </c>
      <c r="M163" s="24">
        <f>IF(L163="","",L163-TODAY())</f>
        <v/>
      </c>
      <c r="N163" s="25">
        <f>IF(D163="","",IF(B163="最高",30,IF(B163="良い",20,IF(B163="滑り止め",10,0)))+N(G163)*2+IF(F163="",0,MIN(F163/100,15)))</f>
        <v/>
      </c>
      <c r="O163" s="20" t="n"/>
    </row>
    <row r="164">
      <c r="A164" s="18">
        <f>IF(D164="","",ROW()-4)</f>
        <v/>
      </c>
      <c r="B164" s="19" t="n"/>
      <c r="C164" s="19" t="n"/>
      <c r="D164" s="20" t="n"/>
      <c r="E164" s="20" t="n"/>
      <c r="F164" s="21" t="n"/>
      <c r="G164" s="19" t="n"/>
      <c r="H164" s="19" t="n"/>
      <c r="I164" s="22" t="n"/>
      <c r="J164" s="19" t="n"/>
      <c r="K164" s="22" t="n"/>
      <c r="L164" s="23">
        <f>IF(COUNT(I164,K164)=0,"",MIN(I164,K164))</f>
        <v/>
      </c>
      <c r="M164" s="24">
        <f>IF(L164="","",L164-TODAY())</f>
        <v/>
      </c>
      <c r="N164" s="25">
        <f>IF(D164="","",IF(B164="最高",30,IF(B164="良い",20,IF(B164="滑り止め",10,0)))+N(G164)*2+IF(F164="",0,MIN(F164/100,15)))</f>
        <v/>
      </c>
      <c r="O164" s="20" t="n"/>
    </row>
    <row r="165">
      <c r="A165" s="18">
        <f>IF(D165="","",ROW()-4)</f>
        <v/>
      </c>
      <c r="B165" s="19" t="n"/>
      <c r="C165" s="19" t="n"/>
      <c r="D165" s="20" t="n"/>
      <c r="E165" s="20" t="n"/>
      <c r="F165" s="21" t="n"/>
      <c r="G165" s="19" t="n"/>
      <c r="H165" s="19" t="n"/>
      <c r="I165" s="22" t="n"/>
      <c r="J165" s="19" t="n"/>
      <c r="K165" s="22" t="n"/>
      <c r="L165" s="23">
        <f>IF(COUNT(I165,K165)=0,"",MIN(I165,K165))</f>
        <v/>
      </c>
      <c r="M165" s="24">
        <f>IF(L165="","",L165-TODAY())</f>
        <v/>
      </c>
      <c r="N165" s="25">
        <f>IF(D165="","",IF(B165="最高",30,IF(B165="良い",20,IF(B165="滑り止め",10,0)))+N(G165)*2+IF(F165="",0,MIN(F165/100,15)))</f>
        <v/>
      </c>
      <c r="O165" s="20" t="n"/>
    </row>
    <row r="166">
      <c r="A166" s="18">
        <f>IF(D166="","",ROW()-4)</f>
        <v/>
      </c>
      <c r="B166" s="19" t="n"/>
      <c r="C166" s="19" t="n"/>
      <c r="D166" s="20" t="n"/>
      <c r="E166" s="20" t="n"/>
      <c r="F166" s="21" t="n"/>
      <c r="G166" s="19" t="n"/>
      <c r="H166" s="19" t="n"/>
      <c r="I166" s="22" t="n"/>
      <c r="J166" s="19" t="n"/>
      <c r="K166" s="22" t="n"/>
      <c r="L166" s="23">
        <f>IF(COUNT(I166,K166)=0,"",MIN(I166,K166))</f>
        <v/>
      </c>
      <c r="M166" s="24">
        <f>IF(L166="","",L166-TODAY())</f>
        <v/>
      </c>
      <c r="N166" s="25">
        <f>IF(D166="","",IF(B166="最高",30,IF(B166="良い",20,IF(B166="滑り止め",10,0)))+N(G166)*2+IF(F166="",0,MIN(F166/100,15)))</f>
        <v/>
      </c>
      <c r="O166" s="20" t="n"/>
    </row>
    <row r="167">
      <c r="A167" s="18">
        <f>IF(D167="","",ROW()-4)</f>
        <v/>
      </c>
      <c r="B167" s="19" t="n"/>
      <c r="C167" s="19" t="n"/>
      <c r="D167" s="20" t="n"/>
      <c r="E167" s="20" t="n"/>
      <c r="F167" s="21" t="n"/>
      <c r="G167" s="19" t="n"/>
      <c r="H167" s="19" t="n"/>
      <c r="I167" s="22" t="n"/>
      <c r="J167" s="19" t="n"/>
      <c r="K167" s="22" t="n"/>
      <c r="L167" s="23">
        <f>IF(COUNT(I167,K167)=0,"",MIN(I167,K167))</f>
        <v/>
      </c>
      <c r="M167" s="24">
        <f>IF(L167="","",L167-TODAY())</f>
        <v/>
      </c>
      <c r="N167" s="25">
        <f>IF(D167="","",IF(B167="最高",30,IF(B167="良い",20,IF(B167="滑り止め",10,0)))+N(G167)*2+IF(F167="",0,MIN(F167/100,15)))</f>
        <v/>
      </c>
      <c r="O167" s="20" t="n"/>
    </row>
    <row r="168">
      <c r="A168" s="18">
        <f>IF(D168="","",ROW()-4)</f>
        <v/>
      </c>
      <c r="B168" s="19" t="n"/>
      <c r="C168" s="19" t="n"/>
      <c r="D168" s="20" t="n"/>
      <c r="E168" s="20" t="n"/>
      <c r="F168" s="21" t="n"/>
      <c r="G168" s="19" t="n"/>
      <c r="H168" s="19" t="n"/>
      <c r="I168" s="22" t="n"/>
      <c r="J168" s="19" t="n"/>
      <c r="K168" s="22" t="n"/>
      <c r="L168" s="23">
        <f>IF(COUNT(I168,K168)=0,"",MIN(I168,K168))</f>
        <v/>
      </c>
      <c r="M168" s="24">
        <f>IF(L168="","",L168-TODAY())</f>
        <v/>
      </c>
      <c r="N168" s="25">
        <f>IF(D168="","",IF(B168="最高",30,IF(B168="良い",20,IF(B168="滑り止め",10,0)))+N(G168)*2+IF(F168="",0,MIN(F168/100,15)))</f>
        <v/>
      </c>
      <c r="O168" s="20" t="n"/>
    </row>
    <row r="169">
      <c r="A169" s="18">
        <f>IF(D169="","",ROW()-4)</f>
        <v/>
      </c>
      <c r="B169" s="19" t="n"/>
      <c r="C169" s="19" t="n"/>
      <c r="D169" s="20" t="n"/>
      <c r="E169" s="20" t="n"/>
      <c r="F169" s="21" t="n"/>
      <c r="G169" s="19" t="n"/>
      <c r="H169" s="19" t="n"/>
      <c r="I169" s="22" t="n"/>
      <c r="J169" s="19" t="n"/>
      <c r="K169" s="22" t="n"/>
      <c r="L169" s="23">
        <f>IF(COUNT(I169,K169)=0,"",MIN(I169,K169))</f>
        <v/>
      </c>
      <c r="M169" s="24">
        <f>IF(L169="","",L169-TODAY())</f>
        <v/>
      </c>
      <c r="N169" s="25">
        <f>IF(D169="","",IF(B169="最高",30,IF(B169="良い",20,IF(B169="滑り止め",10,0)))+N(G169)*2+IF(F169="",0,MIN(F169/100,15)))</f>
        <v/>
      </c>
      <c r="O169" s="20" t="n"/>
    </row>
    <row r="170">
      <c r="A170" s="18">
        <f>IF(D170="","",ROW()-4)</f>
        <v/>
      </c>
      <c r="B170" s="19" t="n"/>
      <c r="C170" s="19" t="n"/>
      <c r="D170" s="20" t="n"/>
      <c r="E170" s="20" t="n"/>
      <c r="F170" s="21" t="n"/>
      <c r="G170" s="19" t="n"/>
      <c r="H170" s="19" t="n"/>
      <c r="I170" s="22" t="n"/>
      <c r="J170" s="19" t="n"/>
      <c r="K170" s="22" t="n"/>
      <c r="L170" s="23">
        <f>IF(COUNT(I170,K170)=0,"",MIN(I170,K170))</f>
        <v/>
      </c>
      <c r="M170" s="24">
        <f>IF(L170="","",L170-TODAY())</f>
        <v/>
      </c>
      <c r="N170" s="25">
        <f>IF(D170="","",IF(B170="最高",30,IF(B170="良い",20,IF(B170="滑り止め",10,0)))+N(G170)*2+IF(F170="",0,MIN(F170/100,15)))</f>
        <v/>
      </c>
      <c r="O170" s="20" t="n"/>
    </row>
    <row r="171">
      <c r="A171" s="18">
        <f>IF(D171="","",ROW()-4)</f>
        <v/>
      </c>
      <c r="B171" s="19" t="n"/>
      <c r="C171" s="19" t="n"/>
      <c r="D171" s="20" t="n"/>
      <c r="E171" s="20" t="n"/>
      <c r="F171" s="21" t="n"/>
      <c r="G171" s="19" t="n"/>
      <c r="H171" s="19" t="n"/>
      <c r="I171" s="22" t="n"/>
      <c r="J171" s="19" t="n"/>
      <c r="K171" s="22" t="n"/>
      <c r="L171" s="23">
        <f>IF(COUNT(I171,K171)=0,"",MIN(I171,K171))</f>
        <v/>
      </c>
      <c r="M171" s="24">
        <f>IF(L171="","",L171-TODAY())</f>
        <v/>
      </c>
      <c r="N171" s="25">
        <f>IF(D171="","",IF(B171="最高",30,IF(B171="良い",20,IF(B171="滑り止め",10,0)))+N(G171)*2+IF(F171="",0,MIN(F171/100,15)))</f>
        <v/>
      </c>
      <c r="O171" s="20" t="n"/>
    </row>
    <row r="172">
      <c r="A172" s="18">
        <f>IF(D172="","",ROW()-4)</f>
        <v/>
      </c>
      <c r="B172" s="19" t="n"/>
      <c r="C172" s="19" t="n"/>
      <c r="D172" s="20" t="n"/>
      <c r="E172" s="20" t="n"/>
      <c r="F172" s="21" t="n"/>
      <c r="G172" s="19" t="n"/>
      <c r="H172" s="19" t="n"/>
      <c r="I172" s="22" t="n"/>
      <c r="J172" s="19" t="n"/>
      <c r="K172" s="22" t="n"/>
      <c r="L172" s="23">
        <f>IF(COUNT(I172,K172)=0,"",MIN(I172,K172))</f>
        <v/>
      </c>
      <c r="M172" s="24">
        <f>IF(L172="","",L172-TODAY())</f>
        <v/>
      </c>
      <c r="N172" s="25">
        <f>IF(D172="","",IF(B172="最高",30,IF(B172="良い",20,IF(B172="滑り止め",10,0)))+N(G172)*2+IF(F172="",0,MIN(F172/100,15)))</f>
        <v/>
      </c>
      <c r="O172" s="20" t="n"/>
    </row>
    <row r="173">
      <c r="A173" s="18">
        <f>IF(D173="","",ROW()-4)</f>
        <v/>
      </c>
      <c r="B173" s="19" t="n"/>
      <c r="C173" s="19" t="n"/>
      <c r="D173" s="20" t="n"/>
      <c r="E173" s="20" t="n"/>
      <c r="F173" s="21" t="n"/>
      <c r="G173" s="19" t="n"/>
      <c r="H173" s="19" t="n"/>
      <c r="I173" s="22" t="n"/>
      <c r="J173" s="19" t="n"/>
      <c r="K173" s="22" t="n"/>
      <c r="L173" s="23">
        <f>IF(COUNT(I173,K173)=0,"",MIN(I173,K173))</f>
        <v/>
      </c>
      <c r="M173" s="24">
        <f>IF(L173="","",L173-TODAY())</f>
        <v/>
      </c>
      <c r="N173" s="25">
        <f>IF(D173="","",IF(B173="最高",30,IF(B173="良い",20,IF(B173="滑り止め",10,0)))+N(G173)*2+IF(F173="",0,MIN(F173/100,15)))</f>
        <v/>
      </c>
      <c r="O173" s="20" t="n"/>
    </row>
    <row r="174">
      <c r="A174" s="18">
        <f>IF(D174="","",ROW()-4)</f>
        <v/>
      </c>
      <c r="B174" s="19" t="n"/>
      <c r="C174" s="19" t="n"/>
      <c r="D174" s="20" t="n"/>
      <c r="E174" s="20" t="n"/>
      <c r="F174" s="21" t="n"/>
      <c r="G174" s="19" t="n"/>
      <c r="H174" s="19" t="n"/>
      <c r="I174" s="22" t="n"/>
      <c r="J174" s="19" t="n"/>
      <c r="K174" s="22" t="n"/>
      <c r="L174" s="23">
        <f>IF(COUNT(I174,K174)=0,"",MIN(I174,K174))</f>
        <v/>
      </c>
      <c r="M174" s="24">
        <f>IF(L174="","",L174-TODAY())</f>
        <v/>
      </c>
      <c r="N174" s="25">
        <f>IF(D174="","",IF(B174="最高",30,IF(B174="良い",20,IF(B174="滑り止め",10,0)))+N(G174)*2+IF(F174="",0,MIN(F174/100,15)))</f>
        <v/>
      </c>
      <c r="O174" s="20" t="n"/>
    </row>
    <row r="175">
      <c r="A175" s="18">
        <f>IF(D175="","",ROW()-4)</f>
        <v/>
      </c>
      <c r="B175" s="19" t="n"/>
      <c r="C175" s="19" t="n"/>
      <c r="D175" s="20" t="n"/>
      <c r="E175" s="20" t="n"/>
      <c r="F175" s="21" t="n"/>
      <c r="G175" s="19" t="n"/>
      <c r="H175" s="19" t="n"/>
      <c r="I175" s="22" t="n"/>
      <c r="J175" s="19" t="n"/>
      <c r="K175" s="22" t="n"/>
      <c r="L175" s="23">
        <f>IF(COUNT(I175,K175)=0,"",MIN(I175,K175))</f>
        <v/>
      </c>
      <c r="M175" s="24">
        <f>IF(L175="","",L175-TODAY())</f>
        <v/>
      </c>
      <c r="N175" s="25">
        <f>IF(D175="","",IF(B175="最高",30,IF(B175="良い",20,IF(B175="滑り止め",10,0)))+N(G175)*2+IF(F175="",0,MIN(F175/100,15)))</f>
        <v/>
      </c>
      <c r="O175" s="20" t="n"/>
    </row>
    <row r="176">
      <c r="A176" s="18">
        <f>IF(D176="","",ROW()-4)</f>
        <v/>
      </c>
      <c r="B176" s="19" t="n"/>
      <c r="C176" s="19" t="n"/>
      <c r="D176" s="20" t="n"/>
      <c r="E176" s="20" t="n"/>
      <c r="F176" s="21" t="n"/>
      <c r="G176" s="19" t="n"/>
      <c r="H176" s="19" t="n"/>
      <c r="I176" s="22" t="n"/>
      <c r="J176" s="19" t="n"/>
      <c r="K176" s="22" t="n"/>
      <c r="L176" s="23">
        <f>IF(COUNT(I176,K176)=0,"",MIN(I176,K176))</f>
        <v/>
      </c>
      <c r="M176" s="24">
        <f>IF(L176="","",L176-TODAY())</f>
        <v/>
      </c>
      <c r="N176" s="25">
        <f>IF(D176="","",IF(B176="最高",30,IF(B176="良い",20,IF(B176="滑り止め",10,0)))+N(G176)*2+IF(F176="",0,MIN(F176/100,15)))</f>
        <v/>
      </c>
      <c r="O176" s="20" t="n"/>
    </row>
    <row r="177">
      <c r="A177" s="18">
        <f>IF(D177="","",ROW()-4)</f>
        <v/>
      </c>
      <c r="B177" s="19" t="n"/>
      <c r="C177" s="19" t="n"/>
      <c r="D177" s="20" t="n"/>
      <c r="E177" s="20" t="n"/>
      <c r="F177" s="21" t="n"/>
      <c r="G177" s="19" t="n"/>
      <c r="H177" s="19" t="n"/>
      <c r="I177" s="22" t="n"/>
      <c r="J177" s="19" t="n"/>
      <c r="K177" s="22" t="n"/>
      <c r="L177" s="23">
        <f>IF(COUNT(I177,K177)=0,"",MIN(I177,K177))</f>
        <v/>
      </c>
      <c r="M177" s="24">
        <f>IF(L177="","",L177-TODAY())</f>
        <v/>
      </c>
      <c r="N177" s="25">
        <f>IF(D177="","",IF(B177="最高",30,IF(B177="良い",20,IF(B177="滑り止め",10,0)))+N(G177)*2+IF(F177="",0,MIN(F177/100,15)))</f>
        <v/>
      </c>
      <c r="O177" s="20" t="n"/>
    </row>
    <row r="178">
      <c r="A178" s="18">
        <f>IF(D178="","",ROW()-4)</f>
        <v/>
      </c>
      <c r="B178" s="19" t="n"/>
      <c r="C178" s="19" t="n"/>
      <c r="D178" s="20" t="n"/>
      <c r="E178" s="20" t="n"/>
      <c r="F178" s="21" t="n"/>
      <c r="G178" s="19" t="n"/>
      <c r="H178" s="19" t="n"/>
      <c r="I178" s="22" t="n"/>
      <c r="J178" s="19" t="n"/>
      <c r="K178" s="22" t="n"/>
      <c r="L178" s="23">
        <f>IF(COUNT(I178,K178)=0,"",MIN(I178,K178))</f>
        <v/>
      </c>
      <c r="M178" s="24">
        <f>IF(L178="","",L178-TODAY())</f>
        <v/>
      </c>
      <c r="N178" s="25">
        <f>IF(D178="","",IF(B178="最高",30,IF(B178="良い",20,IF(B178="滑り止め",10,0)))+N(G178)*2+IF(F178="",0,MIN(F178/100,15)))</f>
        <v/>
      </c>
      <c r="O178" s="20" t="n"/>
    </row>
    <row r="179">
      <c r="A179" s="18">
        <f>IF(D179="","",ROW()-4)</f>
        <v/>
      </c>
      <c r="B179" s="19" t="n"/>
      <c r="C179" s="19" t="n"/>
      <c r="D179" s="20" t="n"/>
      <c r="E179" s="20" t="n"/>
      <c r="F179" s="21" t="n"/>
      <c r="G179" s="19" t="n"/>
      <c r="H179" s="19" t="n"/>
      <c r="I179" s="22" t="n"/>
      <c r="J179" s="19" t="n"/>
      <c r="K179" s="22" t="n"/>
      <c r="L179" s="23">
        <f>IF(COUNT(I179,K179)=0,"",MIN(I179,K179))</f>
        <v/>
      </c>
      <c r="M179" s="24">
        <f>IF(L179="","",L179-TODAY())</f>
        <v/>
      </c>
      <c r="N179" s="25">
        <f>IF(D179="","",IF(B179="最高",30,IF(B179="良い",20,IF(B179="滑り止め",10,0)))+N(G179)*2+IF(F179="",0,MIN(F179/100,15)))</f>
        <v/>
      </c>
      <c r="O179" s="20" t="n"/>
    </row>
    <row r="180">
      <c r="A180" s="18">
        <f>IF(D180="","",ROW()-4)</f>
        <v/>
      </c>
      <c r="B180" s="19" t="n"/>
      <c r="C180" s="19" t="n"/>
      <c r="D180" s="20" t="n"/>
      <c r="E180" s="20" t="n"/>
      <c r="F180" s="21" t="n"/>
      <c r="G180" s="19" t="n"/>
      <c r="H180" s="19" t="n"/>
      <c r="I180" s="22" t="n"/>
      <c r="J180" s="19" t="n"/>
      <c r="K180" s="22" t="n"/>
      <c r="L180" s="23">
        <f>IF(COUNT(I180,K180)=0,"",MIN(I180,K180))</f>
        <v/>
      </c>
      <c r="M180" s="24">
        <f>IF(L180="","",L180-TODAY())</f>
        <v/>
      </c>
      <c r="N180" s="25">
        <f>IF(D180="","",IF(B180="最高",30,IF(B180="良い",20,IF(B180="滑り止め",10,0)))+N(G180)*2+IF(F180="",0,MIN(F180/100,15)))</f>
        <v/>
      </c>
      <c r="O180" s="20" t="n"/>
    </row>
    <row r="181">
      <c r="A181" s="18">
        <f>IF(D181="","",ROW()-4)</f>
        <v/>
      </c>
      <c r="B181" s="19" t="n"/>
      <c r="C181" s="19" t="n"/>
      <c r="D181" s="20" t="n"/>
      <c r="E181" s="20" t="n"/>
      <c r="F181" s="21" t="n"/>
      <c r="G181" s="19" t="n"/>
      <c r="H181" s="19" t="n"/>
      <c r="I181" s="22" t="n"/>
      <c r="J181" s="19" t="n"/>
      <c r="K181" s="22" t="n"/>
      <c r="L181" s="23">
        <f>IF(COUNT(I181,K181)=0,"",MIN(I181,K181))</f>
        <v/>
      </c>
      <c r="M181" s="24">
        <f>IF(L181="","",L181-TODAY())</f>
        <v/>
      </c>
      <c r="N181" s="25">
        <f>IF(D181="","",IF(B181="最高",30,IF(B181="良い",20,IF(B181="滑り止め",10,0)))+N(G181)*2+IF(F181="",0,MIN(F181/100,15)))</f>
        <v/>
      </c>
      <c r="O181" s="20" t="n"/>
    </row>
    <row r="182">
      <c r="A182" s="18">
        <f>IF(D182="","",ROW()-4)</f>
        <v/>
      </c>
      <c r="B182" s="19" t="n"/>
      <c r="C182" s="19" t="n"/>
      <c r="D182" s="20" t="n"/>
      <c r="E182" s="20" t="n"/>
      <c r="F182" s="21" t="n"/>
      <c r="G182" s="19" t="n"/>
      <c r="H182" s="19" t="n"/>
      <c r="I182" s="22" t="n"/>
      <c r="J182" s="19" t="n"/>
      <c r="K182" s="22" t="n"/>
      <c r="L182" s="23">
        <f>IF(COUNT(I182,K182)=0,"",MIN(I182,K182))</f>
        <v/>
      </c>
      <c r="M182" s="24">
        <f>IF(L182="","",L182-TODAY())</f>
        <v/>
      </c>
      <c r="N182" s="25">
        <f>IF(D182="","",IF(B182="最高",30,IF(B182="良い",20,IF(B182="滑り止め",10,0)))+N(G182)*2+IF(F182="",0,MIN(F182/100,15)))</f>
        <v/>
      </c>
      <c r="O182" s="20" t="n"/>
    </row>
    <row r="183">
      <c r="A183" s="18">
        <f>IF(D183="","",ROW()-4)</f>
        <v/>
      </c>
      <c r="B183" s="19" t="n"/>
      <c r="C183" s="19" t="n"/>
      <c r="D183" s="20" t="n"/>
      <c r="E183" s="20" t="n"/>
      <c r="F183" s="21" t="n"/>
      <c r="G183" s="19" t="n"/>
      <c r="H183" s="19" t="n"/>
      <c r="I183" s="22" t="n"/>
      <c r="J183" s="19" t="n"/>
      <c r="K183" s="22" t="n"/>
      <c r="L183" s="23">
        <f>IF(COUNT(I183,K183)=0,"",MIN(I183,K183))</f>
        <v/>
      </c>
      <c r="M183" s="24">
        <f>IF(L183="","",L183-TODAY())</f>
        <v/>
      </c>
      <c r="N183" s="25">
        <f>IF(D183="","",IF(B183="最高",30,IF(B183="良い",20,IF(B183="滑り止め",10,0)))+N(G183)*2+IF(F183="",0,MIN(F183/100,15)))</f>
        <v/>
      </c>
      <c r="O183" s="20" t="n"/>
    </row>
    <row r="184">
      <c r="A184" s="18">
        <f>IF(D184="","",ROW()-4)</f>
        <v/>
      </c>
      <c r="B184" s="19" t="n"/>
      <c r="C184" s="19" t="n"/>
      <c r="D184" s="20" t="n"/>
      <c r="E184" s="20" t="n"/>
      <c r="F184" s="21" t="n"/>
      <c r="G184" s="19" t="n"/>
      <c r="H184" s="19" t="n"/>
      <c r="I184" s="22" t="n"/>
      <c r="J184" s="19" t="n"/>
      <c r="K184" s="22" t="n"/>
      <c r="L184" s="23">
        <f>IF(COUNT(I184,K184)=0,"",MIN(I184,K184))</f>
        <v/>
      </c>
      <c r="M184" s="24">
        <f>IF(L184="","",L184-TODAY())</f>
        <v/>
      </c>
      <c r="N184" s="25">
        <f>IF(D184="","",IF(B184="最高",30,IF(B184="良い",20,IF(B184="滑り止め",10,0)))+N(G184)*2+IF(F184="",0,MIN(F184/100,15)))</f>
        <v/>
      </c>
      <c r="O184" s="20" t="n"/>
    </row>
    <row r="185">
      <c r="A185" s="18">
        <f>IF(D185="","",ROW()-4)</f>
        <v/>
      </c>
      <c r="B185" s="19" t="n"/>
      <c r="C185" s="19" t="n"/>
      <c r="D185" s="20" t="n"/>
      <c r="E185" s="20" t="n"/>
      <c r="F185" s="21" t="n"/>
      <c r="G185" s="19" t="n"/>
      <c r="H185" s="19" t="n"/>
      <c r="I185" s="22" t="n"/>
      <c r="J185" s="19" t="n"/>
      <c r="K185" s="22" t="n"/>
      <c r="L185" s="23">
        <f>IF(COUNT(I185,K185)=0,"",MIN(I185,K185))</f>
        <v/>
      </c>
      <c r="M185" s="24">
        <f>IF(L185="","",L185-TODAY())</f>
        <v/>
      </c>
      <c r="N185" s="25">
        <f>IF(D185="","",IF(B185="最高",30,IF(B185="良い",20,IF(B185="滑り止め",10,0)))+N(G185)*2+IF(F185="",0,MIN(F185/100,15)))</f>
        <v/>
      </c>
      <c r="O185" s="20" t="n"/>
    </row>
    <row r="186">
      <c r="A186" s="18">
        <f>IF(D186="","",ROW()-4)</f>
        <v/>
      </c>
      <c r="B186" s="19" t="n"/>
      <c r="C186" s="19" t="n"/>
      <c r="D186" s="20" t="n"/>
      <c r="E186" s="20" t="n"/>
      <c r="F186" s="21" t="n"/>
      <c r="G186" s="19" t="n"/>
      <c r="H186" s="19" t="n"/>
      <c r="I186" s="22" t="n"/>
      <c r="J186" s="19" t="n"/>
      <c r="K186" s="22" t="n"/>
      <c r="L186" s="23">
        <f>IF(COUNT(I186,K186)=0,"",MIN(I186,K186))</f>
        <v/>
      </c>
      <c r="M186" s="24">
        <f>IF(L186="","",L186-TODAY())</f>
        <v/>
      </c>
      <c r="N186" s="25">
        <f>IF(D186="","",IF(B186="最高",30,IF(B186="良い",20,IF(B186="滑り止め",10,0)))+N(G186)*2+IF(F186="",0,MIN(F186/100,15)))</f>
        <v/>
      </c>
      <c r="O186" s="20" t="n"/>
    </row>
    <row r="187">
      <c r="A187" s="18">
        <f>IF(D187="","",ROW()-4)</f>
        <v/>
      </c>
      <c r="B187" s="19" t="n"/>
      <c r="C187" s="19" t="n"/>
      <c r="D187" s="20" t="n"/>
      <c r="E187" s="20" t="n"/>
      <c r="F187" s="21" t="n"/>
      <c r="G187" s="19" t="n"/>
      <c r="H187" s="19" t="n"/>
      <c r="I187" s="22" t="n"/>
      <c r="J187" s="19" t="n"/>
      <c r="K187" s="22" t="n"/>
      <c r="L187" s="23">
        <f>IF(COUNT(I187,K187)=0,"",MIN(I187,K187))</f>
        <v/>
      </c>
      <c r="M187" s="24">
        <f>IF(L187="","",L187-TODAY())</f>
        <v/>
      </c>
      <c r="N187" s="25">
        <f>IF(D187="","",IF(B187="最高",30,IF(B187="良い",20,IF(B187="滑り止め",10,0)))+N(G187)*2+IF(F187="",0,MIN(F187/100,15)))</f>
        <v/>
      </c>
      <c r="O187" s="20" t="n"/>
    </row>
    <row r="188">
      <c r="A188" s="18">
        <f>IF(D188="","",ROW()-4)</f>
        <v/>
      </c>
      <c r="B188" s="19" t="n"/>
      <c r="C188" s="19" t="n"/>
      <c r="D188" s="20" t="n"/>
      <c r="E188" s="20" t="n"/>
      <c r="F188" s="21" t="n"/>
      <c r="G188" s="19" t="n"/>
      <c r="H188" s="19" t="n"/>
      <c r="I188" s="22" t="n"/>
      <c r="J188" s="19" t="n"/>
      <c r="K188" s="22" t="n"/>
      <c r="L188" s="23">
        <f>IF(COUNT(I188,K188)=0,"",MIN(I188,K188))</f>
        <v/>
      </c>
      <c r="M188" s="24">
        <f>IF(L188="","",L188-TODAY())</f>
        <v/>
      </c>
      <c r="N188" s="25">
        <f>IF(D188="","",IF(B188="最高",30,IF(B188="良い",20,IF(B188="滑り止め",10,0)))+N(G188)*2+IF(F188="",0,MIN(F188/100,15)))</f>
        <v/>
      </c>
      <c r="O188" s="20" t="n"/>
    </row>
    <row r="189">
      <c r="A189" s="18">
        <f>IF(D189="","",ROW()-4)</f>
        <v/>
      </c>
      <c r="B189" s="19" t="n"/>
      <c r="C189" s="19" t="n"/>
      <c r="D189" s="20" t="n"/>
      <c r="E189" s="20" t="n"/>
      <c r="F189" s="21" t="n"/>
      <c r="G189" s="19" t="n"/>
      <c r="H189" s="19" t="n"/>
      <c r="I189" s="22" t="n"/>
      <c r="J189" s="19" t="n"/>
      <c r="K189" s="22" t="n"/>
      <c r="L189" s="23">
        <f>IF(COUNT(I189,K189)=0,"",MIN(I189,K189))</f>
        <v/>
      </c>
      <c r="M189" s="24">
        <f>IF(L189="","",L189-TODAY())</f>
        <v/>
      </c>
      <c r="N189" s="25">
        <f>IF(D189="","",IF(B189="最高",30,IF(B189="良い",20,IF(B189="滑り止め",10,0)))+N(G189)*2+IF(F189="",0,MIN(F189/100,15)))</f>
        <v/>
      </c>
      <c r="O189" s="20" t="n"/>
    </row>
    <row r="190">
      <c r="A190" s="18">
        <f>IF(D190="","",ROW()-4)</f>
        <v/>
      </c>
      <c r="B190" s="19" t="n"/>
      <c r="C190" s="19" t="n"/>
      <c r="D190" s="20" t="n"/>
      <c r="E190" s="20" t="n"/>
      <c r="F190" s="21" t="n"/>
      <c r="G190" s="19" t="n"/>
      <c r="H190" s="19" t="n"/>
      <c r="I190" s="22" t="n"/>
      <c r="J190" s="19" t="n"/>
      <c r="K190" s="22" t="n"/>
      <c r="L190" s="23">
        <f>IF(COUNT(I190,K190)=0,"",MIN(I190,K190))</f>
        <v/>
      </c>
      <c r="M190" s="24">
        <f>IF(L190="","",L190-TODAY())</f>
        <v/>
      </c>
      <c r="N190" s="25">
        <f>IF(D190="","",IF(B190="最高",30,IF(B190="良い",20,IF(B190="滑り止め",10,0)))+N(G190)*2+IF(F190="",0,MIN(F190/100,15)))</f>
        <v/>
      </c>
      <c r="O190" s="20" t="n"/>
    </row>
    <row r="191">
      <c r="A191" s="18">
        <f>IF(D191="","",ROW()-4)</f>
        <v/>
      </c>
      <c r="B191" s="19" t="n"/>
      <c r="C191" s="19" t="n"/>
      <c r="D191" s="20" t="n"/>
      <c r="E191" s="20" t="n"/>
      <c r="F191" s="21" t="n"/>
      <c r="G191" s="19" t="n"/>
      <c r="H191" s="19" t="n"/>
      <c r="I191" s="22" t="n"/>
      <c r="J191" s="19" t="n"/>
      <c r="K191" s="22" t="n"/>
      <c r="L191" s="23">
        <f>IF(COUNT(I191,K191)=0,"",MIN(I191,K191))</f>
        <v/>
      </c>
      <c r="M191" s="24">
        <f>IF(L191="","",L191-TODAY())</f>
        <v/>
      </c>
      <c r="N191" s="25">
        <f>IF(D191="","",IF(B191="最高",30,IF(B191="良い",20,IF(B191="滑り止め",10,0)))+N(G191)*2+IF(F191="",0,MIN(F191/100,15)))</f>
        <v/>
      </c>
      <c r="O191" s="20" t="n"/>
    </row>
    <row r="192">
      <c r="A192" s="18">
        <f>IF(D192="","",ROW()-4)</f>
        <v/>
      </c>
      <c r="B192" s="19" t="n"/>
      <c r="C192" s="19" t="n"/>
      <c r="D192" s="20" t="n"/>
      <c r="E192" s="20" t="n"/>
      <c r="F192" s="21" t="n"/>
      <c r="G192" s="19" t="n"/>
      <c r="H192" s="19" t="n"/>
      <c r="I192" s="22" t="n"/>
      <c r="J192" s="19" t="n"/>
      <c r="K192" s="22" t="n"/>
      <c r="L192" s="23">
        <f>IF(COUNT(I192,K192)=0,"",MIN(I192,K192))</f>
        <v/>
      </c>
      <c r="M192" s="24">
        <f>IF(L192="","",L192-TODAY())</f>
        <v/>
      </c>
      <c r="N192" s="25">
        <f>IF(D192="","",IF(B192="最高",30,IF(B192="良い",20,IF(B192="滑り止め",10,0)))+N(G192)*2+IF(F192="",0,MIN(F192/100,15)))</f>
        <v/>
      </c>
      <c r="O192" s="20" t="n"/>
    </row>
    <row r="193">
      <c r="A193" s="18">
        <f>IF(D193="","",ROW()-4)</f>
        <v/>
      </c>
      <c r="B193" s="19" t="n"/>
      <c r="C193" s="19" t="n"/>
      <c r="D193" s="20" t="n"/>
      <c r="E193" s="20" t="n"/>
      <c r="F193" s="21" t="n"/>
      <c r="G193" s="19" t="n"/>
      <c r="H193" s="19" t="n"/>
      <c r="I193" s="22" t="n"/>
      <c r="J193" s="19" t="n"/>
      <c r="K193" s="22" t="n"/>
      <c r="L193" s="23">
        <f>IF(COUNT(I193,K193)=0,"",MIN(I193,K193))</f>
        <v/>
      </c>
      <c r="M193" s="24">
        <f>IF(L193="","",L193-TODAY())</f>
        <v/>
      </c>
      <c r="N193" s="25">
        <f>IF(D193="","",IF(B193="最高",30,IF(B193="良い",20,IF(B193="滑り止め",10,0)))+N(G193)*2+IF(F193="",0,MIN(F193/100,15)))</f>
        <v/>
      </c>
      <c r="O193" s="20" t="n"/>
    </row>
    <row r="194">
      <c r="A194" s="18">
        <f>IF(D194="","",ROW()-4)</f>
        <v/>
      </c>
      <c r="B194" s="19" t="n"/>
      <c r="C194" s="19" t="n"/>
      <c r="D194" s="20" t="n"/>
      <c r="E194" s="20" t="n"/>
      <c r="F194" s="21" t="n"/>
      <c r="G194" s="19" t="n"/>
      <c r="H194" s="19" t="n"/>
      <c r="I194" s="22" t="n"/>
      <c r="J194" s="19" t="n"/>
      <c r="K194" s="22" t="n"/>
      <c r="L194" s="23">
        <f>IF(COUNT(I194,K194)=0,"",MIN(I194,K194))</f>
        <v/>
      </c>
      <c r="M194" s="24">
        <f>IF(L194="","",L194-TODAY())</f>
        <v/>
      </c>
      <c r="N194" s="25">
        <f>IF(D194="","",IF(B194="最高",30,IF(B194="良い",20,IF(B194="滑り止め",10,0)))+N(G194)*2+IF(F194="",0,MIN(F194/100,15)))</f>
        <v/>
      </c>
      <c r="O194" s="20" t="n"/>
    </row>
    <row r="195">
      <c r="A195" s="18">
        <f>IF(D195="","",ROW()-4)</f>
        <v/>
      </c>
      <c r="B195" s="19" t="n"/>
      <c r="C195" s="19" t="n"/>
      <c r="D195" s="20" t="n"/>
      <c r="E195" s="20" t="n"/>
      <c r="F195" s="21" t="n"/>
      <c r="G195" s="19" t="n"/>
      <c r="H195" s="19" t="n"/>
      <c r="I195" s="22" t="n"/>
      <c r="J195" s="19" t="n"/>
      <c r="K195" s="22" t="n"/>
      <c r="L195" s="23">
        <f>IF(COUNT(I195,K195)=0,"",MIN(I195,K195))</f>
        <v/>
      </c>
      <c r="M195" s="24">
        <f>IF(L195="","",L195-TODAY())</f>
        <v/>
      </c>
      <c r="N195" s="25">
        <f>IF(D195="","",IF(B195="最高",30,IF(B195="良い",20,IF(B195="滑り止め",10,0)))+N(G195)*2+IF(F195="",0,MIN(F195/100,15)))</f>
        <v/>
      </c>
      <c r="O195" s="20" t="n"/>
    </row>
    <row r="196">
      <c r="A196" s="18">
        <f>IF(D196="","",ROW()-4)</f>
        <v/>
      </c>
      <c r="B196" s="19" t="n"/>
      <c r="C196" s="19" t="n"/>
      <c r="D196" s="20" t="n"/>
      <c r="E196" s="20" t="n"/>
      <c r="F196" s="21" t="n"/>
      <c r="G196" s="19" t="n"/>
      <c r="H196" s="19" t="n"/>
      <c r="I196" s="22" t="n"/>
      <c r="J196" s="19" t="n"/>
      <c r="K196" s="22" t="n"/>
      <c r="L196" s="23">
        <f>IF(COUNT(I196,K196)=0,"",MIN(I196,K196))</f>
        <v/>
      </c>
      <c r="M196" s="24">
        <f>IF(L196="","",L196-TODAY())</f>
        <v/>
      </c>
      <c r="N196" s="25">
        <f>IF(D196="","",IF(B196="最高",30,IF(B196="良い",20,IF(B196="滑り止め",10,0)))+N(G196)*2+IF(F196="",0,MIN(F196/100,15)))</f>
        <v/>
      </c>
      <c r="O196" s="20" t="n"/>
    </row>
    <row r="197">
      <c r="A197" s="18">
        <f>IF(D197="","",ROW()-4)</f>
        <v/>
      </c>
      <c r="B197" s="19" t="n"/>
      <c r="C197" s="19" t="n"/>
      <c r="D197" s="20" t="n"/>
      <c r="E197" s="20" t="n"/>
      <c r="F197" s="21" t="n"/>
      <c r="G197" s="19" t="n"/>
      <c r="H197" s="19" t="n"/>
      <c r="I197" s="22" t="n"/>
      <c r="J197" s="19" t="n"/>
      <c r="K197" s="22" t="n"/>
      <c r="L197" s="23">
        <f>IF(COUNT(I197,K197)=0,"",MIN(I197,K197))</f>
        <v/>
      </c>
      <c r="M197" s="24">
        <f>IF(L197="","",L197-TODAY())</f>
        <v/>
      </c>
      <c r="N197" s="25">
        <f>IF(D197="","",IF(B197="最高",30,IF(B197="良い",20,IF(B197="滑り止め",10,0)))+N(G197)*2+IF(F197="",0,MIN(F197/100,15)))</f>
        <v/>
      </c>
      <c r="O197" s="20" t="n"/>
    </row>
    <row r="198">
      <c r="A198" s="18">
        <f>IF(D198="","",ROW()-4)</f>
        <v/>
      </c>
      <c r="B198" s="19" t="n"/>
      <c r="C198" s="19" t="n"/>
      <c r="D198" s="20" t="n"/>
      <c r="E198" s="20" t="n"/>
      <c r="F198" s="21" t="n"/>
      <c r="G198" s="19" t="n"/>
      <c r="H198" s="19" t="n"/>
      <c r="I198" s="22" t="n"/>
      <c r="J198" s="19" t="n"/>
      <c r="K198" s="22" t="n"/>
      <c r="L198" s="23">
        <f>IF(COUNT(I198,K198)=0,"",MIN(I198,K198))</f>
        <v/>
      </c>
      <c r="M198" s="24">
        <f>IF(L198="","",L198-TODAY())</f>
        <v/>
      </c>
      <c r="N198" s="25">
        <f>IF(D198="","",IF(B198="最高",30,IF(B198="良い",20,IF(B198="滑り止め",10,0)))+N(G198)*2+IF(F198="",0,MIN(F198/100,15)))</f>
        <v/>
      </c>
      <c r="O198" s="20" t="n"/>
    </row>
    <row r="199">
      <c r="A199" s="18">
        <f>IF(D199="","",ROW()-4)</f>
        <v/>
      </c>
      <c r="B199" s="19" t="n"/>
      <c r="C199" s="19" t="n"/>
      <c r="D199" s="20" t="n"/>
      <c r="E199" s="20" t="n"/>
      <c r="F199" s="21" t="n"/>
      <c r="G199" s="19" t="n"/>
      <c r="H199" s="19" t="n"/>
      <c r="I199" s="22" t="n"/>
      <c r="J199" s="19" t="n"/>
      <c r="K199" s="22" t="n"/>
      <c r="L199" s="23">
        <f>IF(COUNT(I199,K199)=0,"",MIN(I199,K199))</f>
        <v/>
      </c>
      <c r="M199" s="24">
        <f>IF(L199="","",L199-TODAY())</f>
        <v/>
      </c>
      <c r="N199" s="25">
        <f>IF(D199="","",IF(B199="最高",30,IF(B199="良い",20,IF(B199="滑り止め",10,0)))+N(G199)*2+IF(F199="",0,MIN(F199/100,15)))</f>
        <v/>
      </c>
      <c r="O199" s="20" t="n"/>
    </row>
    <row r="200">
      <c r="A200" s="18">
        <f>IF(D200="","",ROW()-4)</f>
        <v/>
      </c>
      <c r="B200" s="19" t="n"/>
      <c r="C200" s="19" t="n"/>
      <c r="D200" s="20" t="n"/>
      <c r="E200" s="20" t="n"/>
      <c r="F200" s="21" t="n"/>
      <c r="G200" s="19" t="n"/>
      <c r="H200" s="19" t="n"/>
      <c r="I200" s="22" t="n"/>
      <c r="J200" s="19" t="n"/>
      <c r="K200" s="22" t="n"/>
      <c r="L200" s="23">
        <f>IF(COUNT(I200,K200)=0,"",MIN(I200,K200))</f>
        <v/>
      </c>
      <c r="M200" s="24">
        <f>IF(L200="","",L200-TODAY())</f>
        <v/>
      </c>
      <c r="N200" s="25">
        <f>IF(D200="","",IF(B200="最高",30,IF(B200="良い",20,IF(B200="滑り止め",10,0)))+N(G200)*2+IF(F200="",0,MIN(F200/100,15)))</f>
        <v/>
      </c>
      <c r="O200" s="20" t="n"/>
    </row>
  </sheetData>
  <autoFilter ref="A4:O200"/>
  <conditionalFormatting sqref="A5:O200">
    <cfRule type="expression" priority="1" dxfId="0">
      <formula>$B5="最高"</formula>
    </cfRule>
    <cfRule type="expression" priority="2" dxfId="1">
      <formula>$B5="良い"</formula>
    </cfRule>
    <cfRule type="expression" priority="3" dxfId="2">
      <formula>$B5="滑り止め"</formula>
    </cfRule>
  </conditionalFormatting>
  <conditionalFormatting sqref="L5:M200">
    <cfRule type="expression" priority="4" dxfId="3" stopIfTrue="1">
      <formula>AND($M5&lt;&gt;"",$M5&gt;=0,$M5&lt;=14)</formula>
    </cfRule>
  </conditionalFormatting>
  <conditionalFormatting sqref="H5:H200">
    <cfRule type="cellIs" priority="5" operator="equal" dxfId="4">
      <formula>"内定"</formula>
    </cfRule>
    <cfRule type="cellIs" priority="6" operator="equal" dxfId="4">
      <formula>"参加済み"</formula>
    </cfRule>
    <cfRule type="cellIs" priority="7" operator="equal" dxfId="5">
      <formula>"選考中"</formula>
    </cfRule>
    <cfRule type="cellIs" priority="8" operator="equal" dxfId="6">
      <formula>"落選"</formula>
    </cfRule>
    <cfRule type="cellIs" priority="9" operator="equal" dxfId="6">
      <formula>"見送り"</formula>
    </cfRule>
  </conditionalFormatting>
  <conditionalFormatting sqref="J5:J200">
    <cfRule type="cellIs" priority="10" operator="equal" dxfId="4">
      <formula>"内定"</formula>
    </cfRule>
    <cfRule type="cellIs" priority="11" operator="equal" dxfId="4">
      <formula>"参加済み"</formula>
    </cfRule>
    <cfRule type="cellIs" priority="12" operator="equal" dxfId="5">
      <formula>"選考中"</formula>
    </cfRule>
    <cfRule type="cellIs" priority="13" operator="equal" dxfId="6">
      <formula>"落選"</formula>
    </cfRule>
    <cfRule type="cellIs" priority="14" operator="equal" dxfId="6">
      <formula>"見送り"</formula>
    </cfRule>
  </conditionalFormatting>
  <dataValidations count="5">
    <dataValidation sqref="B5:B200" showDropDown="0" showInputMessage="0" showErrorMessage="0" allowBlank="1" type="list">
      <formula1>"最高,良い,滑り止め"</formula1>
    </dataValidation>
    <dataValidation sqref="C5:C200" showDropDown="0" showInputMessage="0" showErrorMessage="0" allowBlank="1" type="list">
      <formula1>'リスト'!$B$2:$B$20</formula1>
    </dataValidation>
    <dataValidation sqref="H5:H200" showDropDown="0" showInputMessage="0" showErrorMessage="0" allowBlank="1" type="list">
      <formula1>"未応募,応募予定,ES提出済,選考中,参加済み,落選,見送り"</formula1>
    </dataValidation>
    <dataValidation sqref="J5:J200" showDropDown="0" showInputMessage="0" showErrorMessage="0" allowBlank="1" type="list">
      <formula1>"未応募,応募予定,ES提出済,選考中,内定,落選,見送り"</formula1>
    </dataValidation>
    <dataValidation sqref="G5:G200"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I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2" customWidth="1" min="3" max="3"/>
    <col width="9" customWidth="1" min="4" max="4"/>
    <col width="9" customWidth="1" min="5" max="5"/>
    <col width="8" customWidth="1" min="6" max="6"/>
    <col width="9" customWidth="1" min="7" max="7"/>
    <col width="14" customWidth="1" min="8" max="8"/>
    <col width="52" customWidth="1" min="9" max="9"/>
  </cols>
  <sheetData>
    <row r="2">
      <c r="B2" s="26" t="inlineStr">
        <is>
          <t>化学・素材メーカーの事務系（文系職）採用比率 調査</t>
        </is>
      </c>
    </row>
    <row r="3">
      <c r="B3" s="2" t="inlineStr">
        <is>
          <t>Web検索で見つかった公開データ（就活サイト・各社採用ページ）を集計。2026年9月時点。人数は青字＝入力値なので、正確な数字が分かれば上書きすると再計算されます。</t>
        </is>
      </c>
    </row>
    <row r="5" ht="30" customHeight="1">
      <c r="B5" s="4" t="inlineStr">
        <is>
          <t>会社</t>
        </is>
      </c>
      <c r="C5" s="4" t="inlineStr">
        <is>
          <t>年度</t>
        </is>
      </c>
      <c r="D5" s="4" t="inlineStr">
        <is>
          <t>事務系
(名)</t>
        </is>
      </c>
      <c r="E5" s="4" t="inlineStr">
        <is>
          <t>技術系
(名)</t>
        </is>
      </c>
      <c r="F5" s="4" t="inlineStr">
        <is>
          <t>合計</t>
        </is>
      </c>
      <c r="G5" s="4" t="inlineStr">
        <is>
          <t>事務系
比率</t>
        </is>
      </c>
      <c r="H5" s="4" t="inlineStr">
        <is>
          <t>データの種類</t>
        </is>
      </c>
      <c r="I5" s="4" t="inlineStr">
        <is>
          <t>注意点</t>
        </is>
      </c>
    </row>
    <row r="6">
      <c r="B6" s="27" t="inlineStr">
        <is>
          <t>住友化学</t>
        </is>
      </c>
      <c r="C6" s="9" t="inlineStr">
        <is>
          <t>2025</t>
        </is>
      </c>
      <c r="D6" s="28" t="n">
        <v>21</v>
      </c>
      <c r="E6" s="28" t="n">
        <v>36</v>
      </c>
      <c r="F6" s="9">
        <f>D6+E6</f>
        <v/>
      </c>
      <c r="G6" s="29">
        <f>IF(F6=0,"",D6/F6)</f>
        <v/>
      </c>
      <c r="H6" s="9" t="inlineStr">
        <is>
          <t>実績</t>
        </is>
      </c>
      <c r="I6" s="27" t="inlineStr">
        <is>
          <t>総合職（クリエイティブスタッフ）のみ。事務系21名の内訳は学士20・修士1。2021年度は全体で文系32・理系81</t>
        </is>
      </c>
    </row>
    <row r="7">
      <c r="B7" s="16" t="inlineStr">
        <is>
          <t>信越化学工業</t>
        </is>
      </c>
      <c r="C7" s="18" t="inlineStr">
        <is>
          <t>2020-2026計</t>
        </is>
      </c>
      <c r="D7" s="19" t="n">
        <v>83</v>
      </c>
      <c r="E7" s="19" t="n">
        <v>529</v>
      </c>
      <c r="F7" s="18">
        <f>D7+E7</f>
        <v/>
      </c>
      <c r="G7" s="30">
        <f>IF(F7=0,"",D7/F7)</f>
        <v/>
      </c>
      <c r="H7" s="18" t="inlineStr">
        <is>
          <t>実績</t>
        </is>
      </c>
      <c r="I7" s="16" t="inlineStr">
        <is>
          <t>7年分の合計（一般職は除く）。2025年は事務15・技術89</t>
        </is>
      </c>
    </row>
    <row r="8">
      <c r="B8" s="16" t="inlineStr">
        <is>
          <t>三井化学</t>
        </is>
      </c>
      <c r="C8" s="18" t="inlineStr">
        <is>
          <t>2025</t>
        </is>
      </c>
      <c r="D8" s="19" t="n">
        <v>22</v>
      </c>
      <c r="E8" s="19" t="n">
        <v>97</v>
      </c>
      <c r="F8" s="18">
        <f>D8+E8</f>
        <v/>
      </c>
      <c r="G8" s="30">
        <f>IF(F8=0,"",D8/F8)</f>
        <v/>
      </c>
      <c r="H8" s="18" t="inlineStr">
        <is>
          <t>実績</t>
        </is>
      </c>
      <c r="I8" s="16" t="inlineStr"/>
    </row>
    <row r="9">
      <c r="B9" s="16" t="inlineStr">
        <is>
          <t>東レ</t>
        </is>
      </c>
      <c r="C9" s="18" t="inlineStr">
        <is>
          <t>2025</t>
        </is>
      </c>
      <c r="D9" s="19" t="n">
        <v>61</v>
      </c>
      <c r="E9" s="19" t="n">
        <v>118</v>
      </c>
      <c r="F9" s="18">
        <f>D9+E9</f>
        <v/>
      </c>
      <c r="G9" s="30">
        <f>IF(F9=0,"",D9/F9)</f>
        <v/>
      </c>
      <c r="H9" s="18" t="inlineStr">
        <is>
          <t>実績</t>
        </is>
      </c>
      <c r="I9" s="16" t="inlineStr">
        <is>
          <t>118/61を男女別とする情報もあり要確認。2024年は事務62・技術141</t>
        </is>
      </c>
    </row>
    <row r="10">
      <c r="B10" s="16" t="inlineStr">
        <is>
          <t>日産化学</t>
        </is>
      </c>
      <c r="C10" s="18" t="inlineStr">
        <is>
          <t>2023-2025計</t>
        </is>
      </c>
      <c r="D10" s="19" t="n">
        <v>22</v>
      </c>
      <c r="E10" s="19" t="n">
        <v>95</v>
      </c>
      <c r="F10" s="18">
        <f>D10+E10</f>
        <v/>
      </c>
      <c r="G10" s="30">
        <f>IF(F10=0,"",D10/F10)</f>
        <v/>
      </c>
      <c r="H10" s="18" t="inlineStr">
        <is>
          <t>実績</t>
        </is>
      </c>
      <c r="I10" s="16" t="inlineStr">
        <is>
          <t>3年分の合計</t>
        </is>
      </c>
    </row>
    <row r="11">
      <c r="B11" s="16" t="inlineStr">
        <is>
          <t>AGC</t>
        </is>
      </c>
      <c r="C11" s="18" t="inlineStr">
        <is>
          <t>2024</t>
        </is>
      </c>
      <c r="D11" s="19" t="n">
        <v>26</v>
      </c>
      <c r="E11" s="19" t="n">
        <v>128</v>
      </c>
      <c r="F11" s="18">
        <f>D11+E11</f>
        <v/>
      </c>
      <c r="G11" s="30">
        <f>IF(F11=0,"",D11/F11)</f>
        <v/>
      </c>
      <c r="H11" s="18" t="inlineStr">
        <is>
          <t>実績</t>
        </is>
      </c>
      <c r="I11" s="16" t="inlineStr">
        <is>
          <t>2026年予定は事務22・技術90</t>
        </is>
      </c>
    </row>
    <row r="12">
      <c r="B12" s="16" t="inlineStr">
        <is>
          <t>日東電工</t>
        </is>
      </c>
      <c r="C12" s="18" t="inlineStr">
        <is>
          <t>2025</t>
        </is>
      </c>
      <c r="D12" s="19" t="n">
        <v>18</v>
      </c>
      <c r="E12" s="19" t="n">
        <v>105</v>
      </c>
      <c r="F12" s="18">
        <f>D12+E12</f>
        <v/>
      </c>
      <c r="G12" s="30">
        <f>IF(F12=0,"",D12/F12)</f>
        <v/>
      </c>
      <c r="H12" s="18" t="inlineStr">
        <is>
          <t>実績</t>
        </is>
      </c>
      <c r="I12" s="16" t="inlineStr">
        <is>
          <t>事務系＝営業管理系</t>
        </is>
      </c>
    </row>
    <row r="13">
      <c r="B13" s="16" t="inlineStr">
        <is>
          <t>住友ベークライト</t>
        </is>
      </c>
      <c r="C13" s="18" t="inlineStr">
        <is>
          <t>2022-2024計</t>
        </is>
      </c>
      <c r="D13" s="19" t="n">
        <v>31</v>
      </c>
      <c r="E13" s="19" t="n">
        <v>57</v>
      </c>
      <c r="F13" s="18">
        <f>D13+E13</f>
        <v/>
      </c>
      <c r="G13" s="30">
        <f>IF(F13=0,"",D13/F13)</f>
        <v/>
      </c>
      <c r="H13" s="18" t="inlineStr">
        <is>
          <t>実績</t>
        </is>
      </c>
      <c r="I13" s="16" t="inlineStr">
        <is>
          <t>3年分の合計</t>
        </is>
      </c>
    </row>
    <row r="14">
      <c r="B14" s="16" t="inlineStr">
        <is>
          <t>JFEスチール</t>
        </is>
      </c>
      <c r="C14" s="18" t="inlineStr">
        <is>
          <t>2023-2025計</t>
        </is>
      </c>
      <c r="D14" s="19" t="n">
        <v>143</v>
      </c>
      <c r="E14" s="19" t="n">
        <v>341</v>
      </c>
      <c r="F14" s="18">
        <f>D14+E14</f>
        <v/>
      </c>
      <c r="G14" s="30">
        <f>IF(F14=0,"",D14/F14)</f>
        <v/>
      </c>
      <c r="H14" s="18" t="inlineStr">
        <is>
          <t>実績</t>
        </is>
      </c>
      <c r="I14" s="16" t="inlineStr">
        <is>
          <t>3年分の合計</t>
        </is>
      </c>
    </row>
    <row r="15">
      <c r="B15" s="16" t="inlineStr">
        <is>
          <t>東ソー</t>
        </is>
      </c>
      <c r="C15" s="18" t="inlineStr">
        <is>
          <t>例年</t>
        </is>
      </c>
      <c r="D15" s="19" t="n">
        <v>20</v>
      </c>
      <c r="E15" s="19" t="n">
        <v>80</v>
      </c>
      <c r="F15" s="18">
        <f>D15+E15</f>
        <v/>
      </c>
      <c r="G15" s="30">
        <f>IF(F15=0,"",D15/F15)</f>
        <v/>
      </c>
      <c r="H15" s="18" t="inlineStr">
        <is>
          <t>概数</t>
        </is>
      </c>
      <c r="I15" s="16" t="inlineStr">
        <is>
          <t>「例年 事務20・技術80前後」という記載</t>
        </is>
      </c>
    </row>
    <row r="16">
      <c r="B16" s="16" t="inlineStr">
        <is>
          <t>レゾナック</t>
        </is>
      </c>
      <c r="C16" s="18" t="inlineStr">
        <is>
          <t>例年</t>
        </is>
      </c>
      <c r="D16" s="19" t="n">
        <v>30</v>
      </c>
      <c r="E16" s="19" t="n">
        <v>120</v>
      </c>
      <c r="F16" s="18">
        <f>D16+E16</f>
        <v/>
      </c>
      <c r="G16" s="30">
        <f>IF(F16=0,"",D16/F16)</f>
        <v/>
      </c>
      <c r="H16" s="18" t="inlineStr">
        <is>
          <t>概数</t>
        </is>
      </c>
      <c r="I16" s="16" t="inlineStr">
        <is>
          <t>「全体約150・文系職約30」という記載</t>
        </is>
      </c>
    </row>
    <row r="17">
      <c r="B17" s="16" t="inlineStr">
        <is>
          <t>クラレ</t>
        </is>
      </c>
      <c r="C17" s="18" t="inlineStr">
        <is>
          <t>2026募集</t>
        </is>
      </c>
      <c r="D17" s="19" t="n">
        <v>20</v>
      </c>
      <c r="E17" s="19" t="n">
        <v>45</v>
      </c>
      <c r="F17" s="18">
        <f>D17+E17</f>
        <v/>
      </c>
      <c r="G17" s="30">
        <f>IF(F17=0,"",D17/F17)</f>
        <v/>
      </c>
      <c r="H17" s="18" t="inlineStr">
        <is>
          <t>募集人数</t>
        </is>
      </c>
      <c r="I17" s="16" t="inlineStr">
        <is>
          <t>募集 事務15〜25・技術40〜50 の中央値</t>
        </is>
      </c>
    </row>
    <row r="19">
      <c r="B19" s="31" t="inlineStr">
        <is>
          <t>全社合計（人数で加重）</t>
        </is>
      </c>
      <c r="C19" s="32" t="n"/>
      <c r="D19" s="32">
        <f>SUM(D6:D17)</f>
        <v/>
      </c>
      <c r="E19" s="32">
        <f>SUM(E6:E17)</f>
        <v/>
      </c>
      <c r="F19" s="32">
        <f>D19+E19</f>
        <v/>
      </c>
      <c r="G19" s="33">
        <f>D19/F19</f>
        <v/>
      </c>
    </row>
    <row r="20">
      <c r="B20" s="31" t="inlineStr">
        <is>
          <t>会社ごと比率の中央値</t>
        </is>
      </c>
      <c r="C20" s="32" t="n"/>
      <c r="D20" s="32" t="n"/>
      <c r="E20" s="32" t="n"/>
      <c r="F20" s="32" t="n"/>
      <c r="G20" s="33">
        <f>MEDIAN(G6:G17)</f>
        <v/>
      </c>
    </row>
    <row r="21">
      <c r="B21" s="31" t="inlineStr">
        <is>
          <t>会社ごと比率の最小〜最大</t>
        </is>
      </c>
      <c r="C21" s="32" t="n"/>
      <c r="D21" s="32" t="n"/>
      <c r="E21" s="32" t="n"/>
      <c r="F21" s="32" t="n"/>
      <c r="G21" s="33">
        <f>TEXT(MIN(G6:G17),"0%")&amp;"〜"&amp;TEXT(MAX(G6:G17),"0%")</f>
        <v/>
      </c>
    </row>
    <row r="23">
      <c r="B23" s="2" t="inlineStr">
        <is>
          <t>・「事務系の中の文系・理系の割合」を公開している会社は見つからなかったため、事務系（≒文系職）が採用全体に占める割合で比較しています。</t>
        </is>
      </c>
    </row>
    <row r="24">
      <c r="B24" s="2" t="inlineStr">
        <is>
          <t>・事務系には理系の学生も応募できるので、実際に文系の学生が入れる枠は事務系の人数より少し少なくなります。</t>
        </is>
      </c>
    </row>
    <row r="25">
      <c r="B25" s="2" t="inlineStr">
        <is>
          <t>・住友化学の事務系21名は学士20名・修士1名で、ほとんどが学部卒でした（文系の学生が多い可能性が高いと推測）。</t>
        </is>
      </c>
    </row>
    <row r="26">
      <c r="B26" s="2" t="inlineStr">
        <is>
          <t>・出典：各社採用サイト、マイナビ・リクナビ、ワンキャリア、unistyle などの検索結果（一部は就活サイトによる二次情報）。</t>
        </is>
      </c>
    </row>
    <row r="29">
      <c r="B29" s="34" t="inlineStr">
        <is>
          <t>② 事務系の文系・理系の内訳が分かる会社（公開数値）</t>
        </is>
      </c>
    </row>
    <row r="30" ht="30" customHeight="1">
      <c r="B30" s="4" t="inlineStr">
        <is>
          <t>会社</t>
        </is>
      </c>
      <c r="C30" s="4" t="inlineStr">
        <is>
          <t>年度</t>
        </is>
      </c>
      <c r="D30" s="4" t="inlineStr">
        <is>
          <t>文系</t>
        </is>
      </c>
      <c r="E30" s="4" t="inlineStr">
        <is>
          <t>理系</t>
        </is>
      </c>
      <c r="F30" s="4" t="inlineStr">
        <is>
          <t>合計</t>
        </is>
      </c>
      <c r="G30" s="4" t="inlineStr">
        <is>
          <t>理系
比率</t>
        </is>
      </c>
      <c r="H30" s="4" t="inlineStr">
        <is>
          <t>区分</t>
        </is>
      </c>
      <c r="I30" s="4" t="inlineStr">
        <is>
          <t>注意点</t>
        </is>
      </c>
    </row>
    <row r="31">
      <c r="B31" s="27" t="inlineStr">
        <is>
          <t>富士フイルムビジネスイノベーション</t>
        </is>
      </c>
      <c r="C31" s="9" t="inlineStr">
        <is>
          <t>最新</t>
        </is>
      </c>
      <c r="D31" s="28" t="n">
        <v>85</v>
      </c>
      <c r="E31" s="28" t="n">
        <v>15</v>
      </c>
      <c r="F31" s="9">
        <f>D31+E31</f>
        <v/>
      </c>
      <c r="G31" s="29">
        <f>IF(F31=0,"",E31/F31)</f>
        <v/>
      </c>
      <c r="H31" s="9" t="inlineStr">
        <is>
          <t>メーカー事務系</t>
        </is>
      </c>
      <c r="I31" s="27" t="inlineStr">
        <is>
          <t>事務系コース内定者の比率（%）。技術系は理系100%。唯一見つかったメーカー事務系の直接データ</t>
        </is>
      </c>
    </row>
    <row r="32">
      <c r="B32" s="16" t="inlineStr">
        <is>
          <t>三菱商事</t>
        </is>
      </c>
      <c r="C32" s="18" t="inlineStr">
        <is>
          <t>2025</t>
        </is>
      </c>
      <c r="D32" s="19" t="n">
        <v>108</v>
      </c>
      <c r="E32" s="19" t="n">
        <v>31</v>
      </c>
      <c r="F32" s="18">
        <f>D32+E32</f>
        <v/>
      </c>
      <c r="G32" s="30">
        <f>IF(F32=0,"",E32/F32)</f>
        <v/>
      </c>
      <c r="H32" s="18" t="inlineStr">
        <is>
          <t>商社（全員ビジネス職）</t>
        </is>
      </c>
      <c r="I32" s="16" t="inlineStr">
        <is>
          <t>技術系の枠がないため、理系も全員ビジネス職</t>
        </is>
      </c>
    </row>
    <row r="33">
      <c r="B33" s="16" t="inlineStr">
        <is>
          <t>伊藤忠商事</t>
        </is>
      </c>
      <c r="C33" s="18" t="inlineStr">
        <is>
          <t>2024</t>
        </is>
      </c>
      <c r="D33" s="19" t="n">
        <v>96</v>
      </c>
      <c r="E33" s="19" t="n">
        <v>38</v>
      </c>
      <c r="F33" s="18">
        <f>D33+E33</f>
        <v/>
      </c>
      <c r="G33" s="30">
        <f>IF(F33=0,"",E33/F33)</f>
        <v/>
      </c>
      <c r="H33" s="18" t="inlineStr">
        <is>
          <t>商社（全員ビジネス職）</t>
        </is>
      </c>
      <c r="I33" s="16" t="inlineStr">
        <is>
          <t>同上</t>
        </is>
      </c>
    </row>
    <row r="34">
      <c r="B34" s="16" t="inlineStr">
        <is>
          <t>三菱UFJ銀行</t>
        </is>
      </c>
      <c r="C34" s="18" t="inlineStr">
        <is>
          <t>最新</t>
        </is>
      </c>
      <c r="D34" s="19" t="n">
        <v>80</v>
      </c>
      <c r="E34" s="19" t="n">
        <v>20</v>
      </c>
      <c r="F34" s="18">
        <f>D34+E34</f>
        <v/>
      </c>
      <c r="G34" s="30">
        <f>IF(F34=0,"",E34/F34)</f>
        <v/>
      </c>
      <c r="H34" s="18" t="inlineStr">
        <is>
          <t>銀行</t>
        </is>
      </c>
      <c r="I34" s="16" t="inlineStr">
        <is>
          <t>「内定の2割が理系」（ニッキン報道）。デジタル等の専門コース込み</t>
        </is>
      </c>
    </row>
    <row r="35">
      <c r="B35" s="2" t="inlineStr">
        <is>
          <t>・富士フイルムBIの行は人数ではなく%（合計100）。商社・銀行は技術系の枠がない分、理系がビジネス職に流れるので、メーカー事務系より理系比率が高めに出ます。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11"/>
  <sheetViews>
    <sheetView workbookViewId="0">
      <selection activeCell="A1" sqref="A1"/>
    </sheetView>
  </sheetViews>
  <sheetFormatPr baseColWidth="8" defaultRowHeight="15"/>
  <cols>
    <col width="36" customWidth="1" min="2" max="2"/>
  </cols>
  <sheetData>
    <row r="1">
      <c r="B1" s="35" t="inlineStr">
        <is>
          <t>業界（プルダウンの選択肢。追加・変更OK）</t>
        </is>
      </c>
    </row>
    <row r="2">
      <c r="B2" s="36" t="inlineStr">
        <is>
          <t>コンサル</t>
        </is>
      </c>
    </row>
    <row r="3">
      <c r="B3" s="36" t="inlineStr">
        <is>
          <t>IT</t>
        </is>
      </c>
    </row>
    <row r="4">
      <c r="B4" s="36" t="inlineStr">
        <is>
          <t>人材・広告</t>
        </is>
      </c>
    </row>
    <row r="5">
      <c r="B5" s="36" t="inlineStr">
        <is>
          <t>鉄鋼・素材</t>
        </is>
      </c>
    </row>
    <row r="6">
      <c r="B6" s="36" t="inlineStr">
        <is>
          <t>化学</t>
        </is>
      </c>
    </row>
    <row r="7">
      <c r="B7" s="36" t="inlineStr">
        <is>
          <t>プラント・エンジ</t>
        </is>
      </c>
    </row>
    <row r="8">
      <c r="B8" s="36" t="inlineStr">
        <is>
          <t>技術営業</t>
        </is>
      </c>
    </row>
    <row r="9">
      <c r="B9" s="36" t="inlineStr">
        <is>
          <t>半導体・電機メーカー</t>
        </is>
      </c>
    </row>
    <row r="10">
      <c r="B10" s="36" t="inlineStr">
        <is>
          <t>商社</t>
        </is>
      </c>
    </row>
    <row r="11">
      <c r="B11" s="36" t="inlineStr">
        <is>
          <t>その他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2026-09-25T06:10:12Z</dcterms:created>
  <dcterms:modified xsi:type="dcterms:W3CDTF">2026-09-25T06:10:12Z</dcterms:modified>
</cp:coreProperties>
</file>